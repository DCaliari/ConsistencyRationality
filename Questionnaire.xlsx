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00" windowHeight="11850"/>
  </bookViews>
  <sheets>
    <sheet name="Question 7b" sheetId="1" r:id="rId1"/>
    <sheet name="Question 8b" sheetId="2" r:id="rId2"/>
  </sheets>
  <definedNames>
    <definedName name="_xlnm._FilterDatabase" localSheetId="0" hidden="1">'Question 7b'!$A$1:$E$146</definedName>
    <definedName name="_xlnm._FilterDatabase" localSheetId="1" hidden="1">'Question 8b'!$A$1:$E$146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<sst xmlns="http://schemas.openxmlformats.org/spreadsheetml/2006/main" count="389" uniqueCount="289">
  <si>
    <t>Question_7b</t>
  </si>
  <si>
    <t>SUMMARY 7B</t>
  </si>
  <si>
    <t>deliberate</t>
  </si>
  <si>
    <t>EV</t>
  </si>
  <si>
    <t>safe</t>
  </si>
  <si>
    <t>I usually do not have good luck, so I choose mostly 90, 75, or 65. Maybe every 5 option, I take a risk to choose a 300 option for a rough statistical reason</t>
  </si>
  <si>
    <t>YES</t>
  </si>
  <si>
    <t>I chose the less risky options with the highest values.</t>
  </si>
  <si>
    <t>1st Security 2nd highest possible outcome</t>
  </si>
  <si>
    <t>the biggest ammount, only after that I considered the percentage of possibility</t>
  </si>
  <si>
    <t xml:space="preserve">I chose the ones with the highest probabilities </t>
  </si>
  <si>
    <t xml:space="preserve">Mostly went for (by rough personal judgement) what had a high likelihood of several pounds. Disregarded any that risked 0 pounds. </t>
  </si>
  <si>
    <t>The highest expected value and the probability of getting it</t>
  </si>
  <si>
    <t>high risk, high reward but with some bets for safer wins</t>
  </si>
  <si>
    <t>roughly calculate expected value but only select the one that is not that much difference between those two options</t>
  </si>
  <si>
    <t>Highest likelihood of a reasonable gain. Once or twice I went big with high-risk, high-reward options.</t>
  </si>
  <si>
    <t>I like to take risk to get the best payment, but sometimes  I will take a middle one.</t>
  </si>
  <si>
    <t xml:space="preserve">Sometimes expected value was too hard to calculate without a calculator, so I tried to guess what the highest value would be. </t>
  </si>
  <si>
    <t>Calculate expected value, note down. If a question only contains seen lotteries, look up previous values. I may have chosen some 300|15 when I thought they were 300|20</t>
  </si>
  <si>
    <t>highest likelihood to receive the highest benefit</t>
  </si>
  <si>
    <t xml:space="preserve">most likely to chose the highest minimum output (unless there was a big pay out or it was close to another choice with similar odds but for a higher value). </t>
  </si>
  <si>
    <t xml:space="preserve">choose low money high chance </t>
  </si>
  <si>
    <t>least risky</t>
  </si>
  <si>
    <t>Considered the ration between the risk and the best possible outcome.</t>
  </si>
  <si>
    <t>Out of the possible lottaries the the highest probability with the highest payoff and the highest expected value as well.</t>
  </si>
  <si>
    <t>if the possibilities of winning more tokkens were high.</t>
  </si>
  <si>
    <t>I switched between avoiding getting 0 and taking the risk - 300 tokens in first part became too inticing to keep choosing the safe options</t>
  </si>
  <si>
    <t>65 with 80 percent 25 wih 20 percent</t>
  </si>
  <si>
    <t>gamble the lottery with highest reward and pick lottery with lower reward and higher chances</t>
  </si>
  <si>
    <t xml:space="preserve">The value of the higher alternative as well as its probability. </t>
  </si>
  <si>
    <t xml:space="preserve">One that would guarantee some sort of payment. </t>
  </si>
  <si>
    <t>highest expected value</t>
  </si>
  <si>
    <t>Firstly the lower number of the outcome of lotteries can be too low. Secondly, choose according to the \qhighest expected value\q criterion</t>
  </si>
  <si>
    <t>in some question, i make decisions based on expected value while in some other question, i prefer the certain gain.</t>
  </si>
  <si>
    <t>Basically i followed the highest expected value criterion, but if the probability of getting higer token is too low and getting nothing or a very low token is very high i would not prefer it.</t>
  </si>
  <si>
    <t>Instinct of probability against pay off</t>
  </si>
  <si>
    <t xml:space="preserve">I essentially tried to calculate the probability of outcomes with a buffer being placed that my odds of making less than 20T was less than 25%. </t>
  </si>
  <si>
    <t xml:space="preserve">Safer bets that guaranteed walking away with at least a modest amount were the priority. </t>
  </si>
  <si>
    <t xml:space="preserve">I avoided lotteries with low payout possibilities, because I would rather be guaranteed a medium amount than have a high expected value, but a possibly low/no payout. </t>
  </si>
  <si>
    <t>1. minimise the loss 2. try to maximise the expected value</t>
  </si>
  <si>
    <t>whatever seemed like i was mostly likely to get a decent payout (eg £5) with minimal risk of getting nothing</t>
  </si>
  <si>
    <t>expected value</t>
  </si>
  <si>
    <t>Certain probability of decent payoff</t>
  </si>
  <si>
    <t>highest probability of getting the larger number</t>
  </si>
  <si>
    <t>I choose the biggest probability of the highest value</t>
  </si>
  <si>
    <t xml:space="preserve">Chose the highest average token return based on probabilities </t>
  </si>
  <si>
    <t>I took into consideration the highest expected value, but also thought about the chance of getting the higher value compared with the lower value.</t>
  </si>
  <si>
    <t>I consider the expected return,but if there is extremely high payoff when win but rather low payoff when lose, even if it may have high expected payoff, I will not choose it</t>
  </si>
  <si>
    <t>I will always go for the one which has the abnormal extra token with lower possibility, if the possibility does not go below 20%.</t>
  </si>
  <si>
    <t>higher amount with lower risk</t>
  </si>
  <si>
    <t>If the highest expected value are approximate among these lotteries, I choose the lottery which has certain revenue like getting 50 with100% probability</t>
  </si>
  <si>
    <t>Highest guaranteed value was my main criterion</t>
  </si>
  <si>
    <t>I chose relying on my 6th sense. I avoided lotteries with 100% - 0% (high risk of losing), tried to choose where there is more or less higherst number of tokens with highest probability of occurence.</t>
  </si>
  <si>
    <t>Highest expected value with some possibility of winning something</t>
  </si>
  <si>
    <t>Calculate the expected value of the lotteries and choose the highest expected value.</t>
  </si>
  <si>
    <t>I choose those with higher probability of winning</t>
  </si>
  <si>
    <t>Which felt the best</t>
  </si>
  <si>
    <t>I was a safe player, I went for the options where I was most likely to \qwin\q a decent amount</t>
  </si>
  <si>
    <t>I mixed my answers to include both the high risk lotteries and the low risk one's that guarenteed tokens</t>
  </si>
  <si>
    <t>what is most likely to give me an average chance of winning the most tolkens while keeping the balance between highest and lowest possible outcome</t>
  </si>
  <si>
    <t>I chose the options that were the safest but still offered a decent amount of tokens such as 100% probability for 50 tokens since this guaranteed tokens</t>
  </si>
  <si>
    <t>Wasn't going to go for a big risk, so if a lesser value was 100% certain, I would pick that. If both values on a lottery were better than the lower value on another lottery, picked that.</t>
  </si>
  <si>
    <t>Guarantee of a minimum payout that I found personally satisfactory, usually at least 50 tokens.</t>
  </si>
  <si>
    <t xml:space="preserve">the most likely chance of winning something regardless of the amount </t>
  </si>
  <si>
    <t>The expected values were similar, so I went for highest possible payout.</t>
  </si>
  <si>
    <t>likelihood of getting at least 20+ tokens</t>
  </si>
  <si>
    <t>Safe options over high risk</t>
  </si>
  <si>
    <t>Highest possible value - no matter what the probability!</t>
  </si>
  <si>
    <t>I based my choice on the chances of winning middle value instead of maximum or minimum</t>
  </si>
  <si>
    <t>I think I am a risk averse person, and like to choose 65£ 80%, 20£ 20%. But I will take risks to choose some risky choice to make a bet, because I believe that I have already got enough tokens.</t>
  </si>
  <si>
    <t>In part one I made a chocie based on how well the probability was. I would rather have some tokens rather than none</t>
  </si>
  <si>
    <t xml:space="preserve">balancing low risk and high reward </t>
  </si>
  <si>
    <t>most likely to win something. less risk</t>
  </si>
  <si>
    <t>Combination of highest net payout in the best and worst case outcomes of each option.</t>
  </si>
  <si>
    <t>I mostly used expected values of the lotteries and chose low risk options, however was occasionally tempted by extremely high token vaues(300 or 500) and so chose riskier options</t>
  </si>
  <si>
    <t>If the highest amount was too risky, I would not take it. I went mostly for ones with a higher reward which were above 50%.</t>
  </si>
  <si>
    <t xml:space="preserve">The lotteries that had a near probabily of earning at least above 15 tockens every time. </t>
  </si>
  <si>
    <t>highest probability of winning</t>
  </si>
  <si>
    <t>expected value calculations</t>
  </si>
  <si>
    <t>1. medium expected value 2.medium/ high probability</t>
  </si>
  <si>
    <t>The diffence if I went a little riskier for a greater win than playing it safe, and seeing whether it was worth it or not.</t>
  </si>
  <si>
    <t xml:space="preserve">My choice was dependant on my previous answers. If I felt I had played more safely before I would take a bigger risk. My goal was to gamble but not be rediculous </t>
  </si>
  <si>
    <t>the highest value that I can get from the lower probability value</t>
  </si>
  <si>
    <t>If there qas a guaranteed pay out I choose it ptherwise I was willing to choose a high risk option</t>
  </si>
  <si>
    <t>I don't choose the risky ones, I'd rather choose one that guarantees a lower payoff with 100% probability</t>
  </si>
  <si>
    <t xml:space="preserve">The probability that I would make some money needed to be high. And that even if the lower amount of money was made, it was still a good amount. </t>
  </si>
  <si>
    <t>I picked the lottery with the highest number that had odds of  over roughly 60%</t>
  </si>
  <si>
    <t xml:space="preserve">Generally took the lowest risk venture </t>
  </si>
  <si>
    <t xml:space="preserve">Highest probability to win </t>
  </si>
  <si>
    <t xml:space="preserve">The most possible to earn stable money, try to avoid to do risk choices. </t>
  </si>
  <si>
    <t>preferred options had lower risk and I would be sure to gain at least a few tokens. The most difficult choices were those that were not too risky but very close to each other</t>
  </si>
  <si>
    <t>Expected value</t>
  </si>
  <si>
    <t>possibilities over 80% higher</t>
  </si>
  <si>
    <t xml:space="preserve">Highest expected value </t>
  </si>
  <si>
    <t>Mixed from low risk and high risk options</t>
  </si>
  <si>
    <t>I tried to choose the option that would get me the greatest overall value. Even if I lose on a lottery, I still would win a decent amount.</t>
  </si>
  <si>
    <t>I decided not to risk and choose the safe path of choosing a lower value if that had better winning chances.</t>
  </si>
  <si>
    <t>The most risk-averse option (i.e the one which had least chance of having a sup-acceptable amount of tokens where sub-acceptable was less than 25)</t>
  </si>
  <si>
    <t xml:space="preserve">Although I calculated EV, I would sometimes choose the 100% 50 tokens as I don't like uncertainty. Besides, I also compare the worst outcome I can get from them. </t>
  </si>
  <si>
    <t>I decided to select the one that offers a high reward but at the same time, one that I will at least have a chance to receive a good reward. I also chose to bet for the chance to win big occasionally</t>
  </si>
  <si>
    <t xml:space="preserve">I mosty chose the otion with the most likely outcome of getting a good midrange payout. But I also took a few risks because it's fun. </t>
  </si>
  <si>
    <t>After a while I realized that the option to get 300 tokens for 20% or 20 tokens at 80% came up frequently. I figured if I kept on playing it after 5 times it was likely I'd win the 300</t>
  </si>
  <si>
    <t>I thought about the probability in all of them</t>
  </si>
  <si>
    <t xml:space="preserve">Weighed higher value against risk, with 20percent being a threshold of 'acceptable' risk for payout over 100 tokens. Otherwise  choices based on the most balanced possibility for a solid payout. </t>
  </si>
  <si>
    <t>I chose the option that had the highest probabilty of getting some tokens atleast</t>
  </si>
  <si>
    <t>I considered how likely the worst case scenario was. If an option's worst case scenario was only slightly worse than another but had a much better best case scenario, then I would choose it.</t>
  </si>
  <si>
    <t>Higher tokens with reasonable probability (&gt;10%)</t>
  </si>
  <si>
    <t>I alternated between choosing the option with the highest likelihood of a good payout or the one that had the best payout with a slim chance of getting it</t>
  </si>
  <si>
    <t>Expected value, consistency, and previous times chosen were considered. A risky lottery multiple times could lead to more consistent results, but safer options were chosen as well to minimise risk.</t>
  </si>
  <si>
    <t>Disciplined myself into being risk-neutral and chose highest expected value lotteries even though it was hard to choose a less secure option</t>
  </si>
  <si>
    <t>Choose a lottery with reletively high chance to have better gain.</t>
  </si>
  <si>
    <t>i only chose lotteries that would give me the highest expected value (if my calculations are correct)</t>
  </si>
  <si>
    <t>I would like to select the lotteries with lower risk of loss.</t>
  </si>
  <si>
    <t>I tried to play with the most certain  reward</t>
  </si>
  <si>
    <t>mood</t>
  </si>
  <si>
    <t>I wasn't penalised for choosing lotteries that offered the chance for a high payout (300 or 500 tokens). Those were the ones I wanted to choose since I didn't have anything to lose.</t>
  </si>
  <si>
    <t>highest value win, with over 20% chance</t>
  </si>
  <si>
    <t>I tried to calculate the expeted value, but sometimes may also have weighted the probabilities of losing a little higher</t>
  </si>
  <si>
    <t>I was relatively risk averse. If I was guarunteed 50 Tokens I would take that over a higher expected outcome with greater risk, although sometimes I chose a risky option.</t>
  </si>
  <si>
    <t>Tried to find highest value. Looked at minimum probable payout for each lottery then weighted them to find the best choice.</t>
  </si>
  <si>
    <t>based on intuition of best choice instead of calculation.</t>
  </si>
  <si>
    <t xml:space="preserve">Where the highest chance is to receive a larger number of tokens </t>
  </si>
  <si>
    <t>If a high number of tokens was possible, I chose that option, regardless of low probability. With fewer tokens I played it safe - I didn't think it worth gambling on 60 tokens at a risk of getting 10</t>
  </si>
  <si>
    <t>Determined if the probability of high reward was suitable to take the risk</t>
  </si>
  <si>
    <t>Total amount I could expect to win if I chose it many times.</t>
  </si>
  <si>
    <t>I tried to balence the likleyhood of each best case and worst case outcome with the respective probabilities of other choices</t>
  </si>
  <si>
    <t xml:space="preserve">Expected Value is what I used to choose </t>
  </si>
  <si>
    <t>Almost always went for possibility of big payout, particularly at the beginning. After a while, if the alternatives had smaller payouts, quickly calculated expected value of payouts.</t>
  </si>
  <si>
    <t>the probability of risk may involved</t>
  </si>
  <si>
    <t>Choose the lottery with the highest value and highest possibility.</t>
  </si>
  <si>
    <t>First I looked at the highest reward in case of losing, and then I checked how likely it was to win.</t>
  </si>
  <si>
    <t xml:space="preserve"> A consideration between highest expected value criterion, and also avoidance of 0-token outcome.</t>
  </si>
  <si>
    <t>Wanted to make sure I could get the largest possible prize even if I won the lower value. In some qiestions, I decided to take a gamble</t>
  </si>
  <si>
    <t>Generally I went for the lottery which had a relatively high chance (40+%) of a fairly high payout (70+).</t>
  </si>
  <si>
    <t>Certainty was my main criterion at the beginning but then I decided to take some risks since my reward will be randomly selected</t>
  </si>
  <si>
    <t xml:space="preserve">I chose based off of what would give me the highest expected value with best percentages. I chose some answers multiple times knowing I would for certain win money and the chose riskier options less </t>
  </si>
  <si>
    <t>high probability for more tokens, willing to take a chance for higher figures</t>
  </si>
  <si>
    <t>only 2 choices of being greedy and the other go for middle range</t>
  </si>
  <si>
    <t>I mainly thought about expected values and used that for most of my choices. For others if the value was large and there was a relatively high probability for it, I chose to take the risk.</t>
  </si>
  <si>
    <t>Usually the one with the most money and highest probability to get the larger sum, but sometimes would just take a chance with the really high value</t>
  </si>
  <si>
    <t>Chances</t>
  </si>
  <si>
    <t>by using the probability and token outcome, finding out which option was likely to yield the greatest return</t>
  </si>
  <si>
    <t>I looked at the odds of the expected winnings and often decided to take slightly higher risks in order to potentially end with more.</t>
  </si>
  <si>
    <t>I tried to pick the one with the highest expected value up to a certain point when the probabilitz of a high paypout was below 20 percent</t>
  </si>
  <si>
    <t>I prefer to choose the 50 lottery with 100% probability and I don't want to risk for high amount that is 50% lower in probability.</t>
  </si>
  <si>
    <t>Question_8b</t>
  </si>
  <si>
    <t>SUMMARY 8B</t>
  </si>
  <si>
    <t>highest_sum</t>
  </si>
  <si>
    <t>imm</t>
  </si>
  <si>
    <t>del_time</t>
  </si>
  <si>
    <t>I assume my earning is not enough to pay everything at once. I use summation as one of the guides. I also prefer to pay a larger amount as early as possible, because the happiness increases afterwards</t>
  </si>
  <si>
    <t>I chose highest values with an immediate payment</t>
  </si>
  <si>
    <t>Highest summation</t>
  </si>
  <si>
    <t>MAX</t>
  </si>
  <si>
    <t>I considered the options that pay now because the money is not that hugeto wait for it for a month or a year</t>
  </si>
  <si>
    <t>chose the ones with the highest pay off</t>
  </si>
  <si>
    <t>Honestly,just went for the ones with the highest immediate payout</t>
  </si>
  <si>
    <t>IMM</t>
  </si>
  <si>
    <t>The total payment</t>
  </si>
  <si>
    <t>need money right now so went for more immediate payouts often</t>
  </si>
  <si>
    <t>as you mentioned, the hightes summation is the first criterion but I will not select if the delay is too long.</t>
  </si>
  <si>
    <t>To the best of my ability I chose the highest summation at all times.</t>
  </si>
  <si>
    <t>I like to get delayed payment in a short time.</t>
  </si>
  <si>
    <t>I chose the plan with the highest total payout, and completely ignored timing.</t>
  </si>
  <si>
    <t>Highest summation every time</t>
  </si>
  <si>
    <t>highest sum + distribution of payment. Eg high payment immediately was favoured as it could be re-invested and capital from investment gained</t>
  </si>
  <si>
    <t xml:space="preserve">I chose the one which gave you the most money overall. </t>
  </si>
  <si>
    <t>quick paying. real value of high sum payment would fall after months so it seemed less preferable</t>
  </si>
  <si>
    <t xml:space="preserve">Considered the delay of the payments compared to the highest summation criterion. Sometimes found that waiting a longer time for a payment difference that is insignificant not worth it. </t>
  </si>
  <si>
    <t>Reasonably choosing the highest summmation within the shortest payment time.</t>
  </si>
  <si>
    <t>N/A</t>
  </si>
  <si>
    <t>I tried to maximise my payment today - I am moving away soon and idk how long after I will keep my british bank account. The best money is the one that will get to me ;)</t>
  </si>
  <si>
    <t>110 in the first minth, fellowing by the number of 50 250 0</t>
  </si>
  <si>
    <t>cuz the reward is not attractive enough for me, so i tend to choose the option which enable me i can get reward earlier</t>
  </si>
  <si>
    <t>I strongly preferred payment plans that paid most or all of the total amount today, even if the total amount was smaller than other payment plans that involved long delays.</t>
  </si>
  <si>
    <t>Added the tokens up, and chose the highest.</t>
  </si>
  <si>
    <t>highest plan</t>
  </si>
  <si>
    <t>Firstly, calculate the summation and choose according to the \qhighest summation\q criterion. Secondly, consider the time value of money if the summation is equal.</t>
  </si>
  <si>
    <t>I take the time value into consideration and prefer to receive payment earlier</t>
  </si>
  <si>
    <t>i followed the rule of highst present value that would minus some token when it paied in later months. the later it paid the more it minus.</t>
  </si>
  <si>
    <t>highest payment in time 0</t>
  </si>
  <si>
    <t>if possibly, something paid immediately but overall with a total amount greater than 150T and a diffeerence between 3 month period payments being greater than £1.50</t>
  </si>
  <si>
    <t>The highest summation was the main criteroin; the delay was secondary. (Although if there were two options, both with the same summation, the one that paid out earlier was preferred.)</t>
  </si>
  <si>
    <t xml:space="preserve">12 months is too long to wait for a couple pounds extra. I chose plans which payed out the most in 3-6 months, expecially within 3 months. </t>
  </si>
  <si>
    <t>1. decreasing the value along with time  2. Amount of money</t>
  </si>
  <si>
    <t>it's not much money over that many months so went for whatever would give me a decent payout quickly</t>
  </si>
  <si>
    <t>highest total value</t>
  </si>
  <si>
    <t>Earlier payment</t>
  </si>
  <si>
    <t>always went for the choice that over the long run gave the greatest income</t>
  </si>
  <si>
    <t>I choose the biggest amount of the summation of the plan</t>
  </si>
  <si>
    <t>No matter the time legnth I chose the plan with the highest return</t>
  </si>
  <si>
    <t>I did usually calculate the summation of the plan, but sometimes chose a plan which would be paid more quickly.</t>
  </si>
  <si>
    <t>i kind of consider the highest summmation and present value of cash flow both, assuming my own time preference and discount rate.</t>
  </si>
  <si>
    <t>I will combine the time and the summation, but summation was set as preference when the two factors conflicted.</t>
  </si>
  <si>
    <t>higher summation</t>
  </si>
  <si>
    <t>I take time discount into consideration.</t>
  </si>
  <si>
    <t>highest summation</t>
  </si>
  <si>
    <t>How fast the payment will be transfered (inflation was also a criterion)</t>
  </si>
  <si>
    <t>It's better to get money now since money tend to lose its value within time. In UK after BREXIT there is a high risk of increasing inflation, therefore money I get in 12 months may cost nothing.</t>
  </si>
  <si>
    <t>Highest summation, preferably in shortest time scale</t>
  </si>
  <si>
    <t>I added all the values and picked the highest with shorter delayed time. If there is not much difference in payment between options then choose the earlier payment.</t>
  </si>
  <si>
    <t>I choose those with highest summation and with the most amount of money within the 6 to 12 months</t>
  </si>
  <si>
    <t>Highest sum</t>
  </si>
  <si>
    <t>I based my decision on the fact that I would rather wait a longer period of time and then get more money in total in the end, than get a higher sum straight away</t>
  </si>
  <si>
    <t>chose out the ones with highest values of tokens based and on how long it would take to recieve the tokens, if one ended on 12 months i would disfavour that over one that ended in 9 months</t>
  </si>
  <si>
    <t>what would give me the highest yield overall</t>
  </si>
  <si>
    <t>I chose the options that were better for the long term: a steady amount over a long period of time was the prefered option to a large amount at once</t>
  </si>
  <si>
    <t>Waited for 170T. If less than 170T, took any value paid immediately. Exception: 160T now over waiting for 170T. If had to pick plan for less than 170T value, picked the shortest wait.</t>
  </si>
  <si>
    <t>Immediate payout ranked higher for me personally even when I knew delayed payment plans would result in acquiring more money.</t>
  </si>
  <si>
    <t>the most amount to receive regardless of time taken to get it</t>
  </si>
  <si>
    <t>I'm not in desperate financial circumstances, therefore it was objectively better for me to go for the highest payoff over the whole time period.</t>
  </si>
  <si>
    <t>Currently have £0.22 in the bank. Need money for food right now. Later SAAS will come in so I will not need extra money in 6,9,12 months (hopefully!).</t>
  </si>
  <si>
    <t xml:space="preserve">Highest pay today </t>
  </si>
  <si>
    <t>For option that had a reasonably high value for short delay, I selected those. However, when the delay had a larger value, I selected them too, regardless of the delay.</t>
  </si>
  <si>
    <t>I would like to choose the average one, and make my decision based on the previous choice to make the benefit average for each month.</t>
  </si>
  <si>
    <t xml:space="preserve">It didnt matter to me mostly how long I had to wait for tokens, I tried to choose the ones with the highest value. </t>
  </si>
  <si>
    <t>i used total accumlation, and balanced this with earliest payment completion. however i varied between prioritising completion and total amount accumlated</t>
  </si>
  <si>
    <t>paid the most money</t>
  </si>
  <si>
    <t>Highest total payout, regardless of how long it took.</t>
  </si>
  <si>
    <t>As the values were relatively small and similar, I chose the option with the highest immediate payment. If the difference in values had been greater I may have chosen delayed payments</t>
  </si>
  <si>
    <t>Mostly I chose based on amount of total summation over time with money</t>
  </si>
  <si>
    <t xml:space="preserve">I choose the ones that you would get the most tockens by the end of the payment plan </t>
  </si>
  <si>
    <t>highest pay and also uniform payment throughout the months</t>
  </si>
  <si>
    <t>total amount of tokens</t>
  </si>
  <si>
    <t>1. medium summation 2.payment delayed no more than 9 months</t>
  </si>
  <si>
    <t>If twowere equal I went for the one that increased over time, or majority of the money was given at the end of the year, but also tried to spead out the time I would be given 0 payments.</t>
  </si>
  <si>
    <t xml:space="preserve">The highest quantity avaiable. I would always recieve all the money, better to have more over time than less instantly. </t>
  </si>
  <si>
    <t>the highest payment in total</t>
  </si>
  <si>
    <t>The greatest amount of money by the end of the payment plan</t>
  </si>
  <si>
    <t>I choose the plan that gives me the highest amount of money in 0 months because money now is better than money later</t>
  </si>
  <si>
    <t>Add up the total amount that could be earned and compare it to the length of time that it could be made over. The aim was to look for the most amount of money to be made over a shorter period of time.</t>
  </si>
  <si>
    <t>I would prefer to get a higher amount quicker, than to wait 9-12 months, even if waiting would increase the amount I got</t>
  </si>
  <si>
    <t xml:space="preserve">The most money despite the legnth of time </t>
  </si>
  <si>
    <t xml:space="preserve">The most reliable plan </t>
  </si>
  <si>
    <t>To use shortist time to earn as much as possible. I prefer to choose highest money in early days. Cause time will change a lot of things, also I can use these money during the following months.</t>
  </si>
  <si>
    <t>Focused alternatives that were highest paying. but in case of two similarly paying plans I chose the one that started earlier.</t>
  </si>
  <si>
    <t>Highest value - if equal earlier payment</t>
  </si>
  <si>
    <t>highest payback in 6 months</t>
  </si>
  <si>
    <t xml:space="preserve">Highest summation if similar consider a quicker payment as a better option </t>
  </si>
  <si>
    <t>What I preceived as the \qhighest summation\q.</t>
  </si>
  <si>
    <t>I just calculated and I choosed whichever plan was giving more tokens.</t>
  </si>
  <si>
    <t>Choose the longer paying plan if summation of plan was considerably more and acceptably longer than the quicker-paying plan</t>
  </si>
  <si>
    <t>As I don't mind it all for delayed payments - I see delayed payments as equivalent of immediate payments. So I ignored the months and add the payments to allow comparison.</t>
  </si>
  <si>
    <t>I chose the plan that ensured the highest total reward to ensure that I will receive the most amount each time. If the reward was the same, I chose the one that took less time to be rewarded quicker</t>
  </si>
  <si>
    <t xml:space="preserve">I calculated which would have the highest return, regardless of how long I would have to wait for the money. </t>
  </si>
  <si>
    <t>I simply added up which gave me the most. Luckily, I can afford to wait</t>
  </si>
  <si>
    <t>I chose the highest paying overall unless another was close to the number and paid faster</t>
  </si>
  <si>
    <t xml:space="preserve">higher total payout regardless of delay. Unlike lottery questions, I didn't deviate or second guess this strategy as the test progressed </t>
  </si>
  <si>
    <t>soonest highest payments</t>
  </si>
  <si>
    <t>I chose the option that gave me a good amount of money the quickest</t>
  </si>
  <si>
    <t>I considered the total payment as a factor but if a high fraction of the largest total payment option was available very quickly then I was tempted to switch.</t>
  </si>
  <si>
    <t xml:space="preserve">1. highest summation 2. As I am only here for one year so I tried to aviod the choose with high tokens in month 12. </t>
  </si>
  <si>
    <t>I chose options where I'd have the most money the soonest (normally I wouldn't but as it was low amounts I'd rather have it now than later- if it was more I'd do the summation strategy)</t>
  </si>
  <si>
    <t>Generally, summation and end time were considered. Plans with a low summation (40 below other plans) were ignored; other options were compared using the time of the final major payment (&gt;20 tokens).</t>
  </si>
  <si>
    <t>Since i cannot reinvest the money and the inflation is not that big, i preferred plans with most money</t>
  </si>
  <si>
    <t>Highest summation in shorter time.</t>
  </si>
  <si>
    <t>i only chose payments that would give me the highest summation if 2 were of the same sum i would pick the option that pays out the final sum as soon as possible</t>
  </si>
  <si>
    <t>I prefer to pay with nearly the same cash flow.</t>
  </si>
  <si>
    <t>I calculated the summation ab chose the best amount</t>
  </si>
  <si>
    <t>highest sum</t>
  </si>
  <si>
    <t>I went for the ones that payed me the greatest amount the soonest. The ones with larger summation meant I had to wait 9-12 months which I wasn't prepared to do for a few extra pounds.</t>
  </si>
  <si>
    <t>highest single payment, with the shortest wait period</t>
  </si>
  <si>
    <t>As the interest rate is very small and inflation as well, I just calculated the sum</t>
  </si>
  <si>
    <t>I sacrificed future potential earnings for short term reward. I need to pay rent.</t>
  </si>
  <si>
    <t>In general, I summed the payment plans to find highest payout. Ocassionally chose the lower payout option if the highest payout for a particular time was 12 months.</t>
  </si>
  <si>
    <t>If no big difference in Time, i choose the highest amount. If time is very different, I choose to be paid larger amounts earlier.</t>
  </si>
  <si>
    <t>Whichever option has the highest number of tokens overall</t>
  </si>
  <si>
    <t>The number of tokens involved were often so small that I preferred an immediate payment over a delayed one, even if a delayed payment would have paid me a little more.</t>
  </si>
  <si>
    <t>Calculated sum but chose upfront payment if the sums were reasonably close</t>
  </si>
  <si>
    <t>Total amount I would receive with the amount I receive the soonest acting as a tiebreaker.</t>
  </si>
  <si>
    <t xml:space="preserve">Generally the most money that fit within 9 months of waiting </t>
  </si>
  <si>
    <t>Because I'm not in the practice of investing, I chose the highest summation, and I believe pounds will be worth more later in the year,</t>
  </si>
  <si>
    <t>Mainly (particularly with the first ~15 plans)calculated highest summation and chose it.Latterly, if summations were within ~40 tokens,I sometimes went with alternatives w/ earliest large payment.</t>
  </si>
  <si>
    <t>the expected depreciation of money in the future</t>
  </si>
  <si>
    <t xml:space="preserve">First add the sum amount,and if the difference of total amount between plans is small then choose the most time accepted one. </t>
  </si>
  <si>
    <t>I almost went for the highest summation</t>
  </si>
  <si>
    <t>Oftentimes used highest summation criterion, but also sometimes went for the instant gratification option due to the relatively low amount of money at stake.</t>
  </si>
  <si>
    <t>Highest total tokens, even if a long wait or no immediate payout.</t>
  </si>
  <si>
    <t>always highest summation</t>
  </si>
  <si>
    <t>I chose these based off of risk versus reward. Choosing options with the highest reward for the least risk the most.</t>
  </si>
  <si>
    <t>most tokens overall</t>
  </si>
  <si>
    <t>the summation of the tocan and how they've been spread during the months</t>
  </si>
  <si>
    <t>For most I chose the largest summation of the plan.</t>
  </si>
  <si>
    <t>Which would give the most money in total</t>
  </si>
  <si>
    <t xml:space="preserve">Highest amount per time. </t>
  </si>
  <si>
    <t xml:space="preserve">which plan payed out the most, then secondarily evaluating the time over which this is done </t>
  </si>
  <si>
    <t>I added the values of the tokens in each plan and chose the one with the highest values.</t>
  </si>
  <si>
    <t>picke dthe one with the highest payout as long as it pays in up to 9 months</t>
  </si>
  <si>
    <t>I try to choose the one with higher amount of sum but also compare the delayed time. If there's about 20 token in difference between two plans I go for the one that will pay earlier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</si>
</sst>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0" fillId="2" borderId="0" xfId="0" applyFill="1"/>
    <xf numFmtId="0" fontId="1" fillId="0" borderId="0" xfId="0" applyFont="1"/>
    <xf numFmtId="0" fontId="1" fillId="2"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6"/>
  <sheetViews>
    <sheetView tabSelected="1" workbookViewId="0">
      <selection activeCell="E9" sqref="E9"/>
    </sheetView>
  </sheetViews>
  <sheetFormatPr defaultColWidth="9" defaultRowHeight="15" outlineLevelCol="4"/>
  <cols>
    <col min="1" max="1" width="162.428571428571" customWidth="1"/>
    <col min="2" max="2" width="21.5714285714286" style="1" hidden="1" customWidth="1"/>
    <col min="6" max="6" width="14.1428571428571" customWidth="1"/>
  </cols>
  <sheetData>
    <row r="1" spans="1:5">
      <c r="A1" s="2" t="s">
        <v>0</v>
      </c>
      <c r="B1" s="3" t="s">
        <v>1</v>
      </c>
      <c r="C1" t="s">
        <v>2</v>
      </c>
      <c r="D1" t="s">
        <v>3</v>
      </c>
      <c r="E1" t="s">
        <v>4</v>
      </c>
    </row>
    <row r="2" spans="1:5">
      <c r="A2" t="s">
        <v>5</v>
      </c>
      <c r="B2" s="1" t="s">
        <v>6</v>
      </c>
      <c r="C2">
        <f>IF(B2="YES",1,0)</f>
        <v>1</v>
      </c>
      <c r="D2">
        <v>0</v>
      </c>
      <c r="E2">
        <v>0</v>
      </c>
    </row>
    <row r="3" spans="1:5">
      <c r="A3" t="s">
        <v>7</v>
      </c>
      <c r="C3">
        <f t="shared" ref="C3:C66" si="0">IF(B3="YES",1,0)</f>
        <v>0</v>
      </c>
      <c r="D3">
        <v>0</v>
      </c>
      <c r="E3">
        <v>0</v>
      </c>
    </row>
    <row r="4" spans="1:5">
      <c r="A4" t="s">
        <v>8</v>
      </c>
      <c r="C4">
        <f t="shared" si="0"/>
        <v>0</v>
      </c>
      <c r="D4">
        <v>0</v>
      </c>
      <c r="E4">
        <v>0</v>
      </c>
    </row>
    <row r="5" spans="1:5">
      <c r="A5" t="s">
        <v>9</v>
      </c>
      <c r="C5">
        <f t="shared" si="0"/>
        <v>0</v>
      </c>
      <c r="D5">
        <v>0</v>
      </c>
      <c r="E5">
        <v>0</v>
      </c>
    </row>
    <row r="6" spans="1:5">
      <c r="A6" t="s">
        <v>10</v>
      </c>
      <c r="C6">
        <f t="shared" si="0"/>
        <v>0</v>
      </c>
      <c r="D6">
        <v>0</v>
      </c>
      <c r="E6">
        <v>0</v>
      </c>
    </row>
    <row r="7" spans="1:5">
      <c r="A7" t="s">
        <v>11</v>
      </c>
      <c r="C7">
        <f t="shared" si="0"/>
        <v>0</v>
      </c>
      <c r="D7">
        <v>0</v>
      </c>
      <c r="E7">
        <v>0</v>
      </c>
    </row>
    <row r="8" spans="1:5">
      <c r="A8" t="s">
        <v>12</v>
      </c>
      <c r="C8">
        <f t="shared" si="0"/>
        <v>0</v>
      </c>
      <c r="D8">
        <v>0</v>
      </c>
      <c r="E8">
        <v>0</v>
      </c>
    </row>
    <row r="9" spans="1:5">
      <c r="A9" t="s">
        <v>13</v>
      </c>
      <c r="B9" s="1" t="s">
        <v>6</v>
      </c>
      <c r="C9">
        <f t="shared" si="0"/>
        <v>1</v>
      </c>
      <c r="D9">
        <v>0</v>
      </c>
      <c r="E9">
        <v>0</v>
      </c>
    </row>
    <row r="10" spans="1:5">
      <c r="A10" t="s">
        <v>14</v>
      </c>
      <c r="C10">
        <f t="shared" si="0"/>
        <v>0</v>
      </c>
      <c r="D10">
        <v>0</v>
      </c>
      <c r="E10">
        <v>0</v>
      </c>
    </row>
    <row r="11" spans="1:5">
      <c r="A11" t="s">
        <v>15</v>
      </c>
      <c r="B11" s="1" t="s">
        <v>6</v>
      </c>
      <c r="C11">
        <f t="shared" si="0"/>
        <v>1</v>
      </c>
      <c r="D11">
        <v>0</v>
      </c>
      <c r="E11">
        <v>0</v>
      </c>
    </row>
    <row r="12" spans="1:5">
      <c r="A12" t="s">
        <v>16</v>
      </c>
      <c r="B12" s="1" t="s">
        <v>6</v>
      </c>
      <c r="C12">
        <f t="shared" si="0"/>
        <v>1</v>
      </c>
      <c r="D12">
        <v>0</v>
      </c>
      <c r="E12">
        <v>0</v>
      </c>
    </row>
    <row r="13" spans="1:5">
      <c r="A13" t="s">
        <v>17</v>
      </c>
      <c r="C13">
        <f t="shared" si="0"/>
        <v>0</v>
      </c>
      <c r="D13">
        <v>1</v>
      </c>
      <c r="E13">
        <v>0</v>
      </c>
    </row>
    <row r="14" spans="1:5">
      <c r="A14" t="s">
        <v>18</v>
      </c>
      <c r="C14">
        <f t="shared" si="0"/>
        <v>0</v>
      </c>
      <c r="D14">
        <v>1</v>
      </c>
      <c r="E14">
        <v>0</v>
      </c>
    </row>
    <row r="15" spans="1:5">
      <c r="A15" t="s">
        <v>19</v>
      </c>
      <c r="C15">
        <f t="shared" si="0"/>
        <v>0</v>
      </c>
      <c r="D15">
        <v>0</v>
      </c>
      <c r="E15">
        <v>0</v>
      </c>
    </row>
    <row r="16" spans="1:5">
      <c r="A16" t="s">
        <v>20</v>
      </c>
      <c r="B16" s="1" t="s">
        <v>6</v>
      </c>
      <c r="C16">
        <f t="shared" si="0"/>
        <v>1</v>
      </c>
      <c r="D16">
        <v>0</v>
      </c>
      <c r="E16">
        <v>0</v>
      </c>
    </row>
    <row r="17" spans="1:5">
      <c r="A17" t="s">
        <v>21</v>
      </c>
      <c r="C17">
        <f t="shared" si="0"/>
        <v>0</v>
      </c>
      <c r="D17">
        <v>0</v>
      </c>
      <c r="E17">
        <v>1</v>
      </c>
    </row>
    <row r="18" spans="1:5">
      <c r="A18" t="s">
        <v>22</v>
      </c>
      <c r="C18">
        <f t="shared" si="0"/>
        <v>0</v>
      </c>
      <c r="D18">
        <v>0</v>
      </c>
      <c r="E18">
        <v>1</v>
      </c>
    </row>
    <row r="19" spans="1:5">
      <c r="A19" t="s">
        <v>23</v>
      </c>
      <c r="C19">
        <f t="shared" si="0"/>
        <v>0</v>
      </c>
      <c r="D19">
        <v>0</v>
      </c>
      <c r="E19">
        <v>0</v>
      </c>
    </row>
    <row r="20" spans="1:5">
      <c r="A20" t="s">
        <v>24</v>
      </c>
      <c r="C20">
        <f t="shared" si="0"/>
        <v>0</v>
      </c>
      <c r="D20">
        <v>1</v>
      </c>
      <c r="E20">
        <v>0</v>
      </c>
    </row>
    <row r="21" spans="1:5">
      <c r="A21" t="s">
        <v>25</v>
      </c>
      <c r="C21">
        <f t="shared" si="0"/>
        <v>0</v>
      </c>
      <c r="D21">
        <v>0</v>
      </c>
      <c r="E21">
        <v>0</v>
      </c>
    </row>
    <row r="22" spans="1:5">
      <c r="A22" t="s">
        <v>26</v>
      </c>
      <c r="B22" s="1" t="s">
        <v>6</v>
      </c>
      <c r="C22">
        <f t="shared" si="0"/>
        <v>1</v>
      </c>
      <c r="D22">
        <v>0</v>
      </c>
      <c r="E22">
        <v>0</v>
      </c>
    </row>
    <row r="23" spans="1:5">
      <c r="A23" t="s">
        <v>27</v>
      </c>
      <c r="C23">
        <f t="shared" si="0"/>
        <v>0</v>
      </c>
      <c r="D23">
        <v>0</v>
      </c>
      <c r="E23">
        <v>0</v>
      </c>
    </row>
    <row r="24" spans="1:5">
      <c r="A24" t="s">
        <v>28</v>
      </c>
      <c r="B24" s="1" t="s">
        <v>6</v>
      </c>
      <c r="C24">
        <f t="shared" si="0"/>
        <v>1</v>
      </c>
      <c r="D24">
        <v>0</v>
      </c>
      <c r="E24">
        <v>0</v>
      </c>
    </row>
    <row r="25" spans="1:5">
      <c r="A25" t="s">
        <v>29</v>
      </c>
      <c r="C25">
        <f t="shared" si="0"/>
        <v>0</v>
      </c>
      <c r="D25">
        <v>0</v>
      </c>
      <c r="E25">
        <v>0</v>
      </c>
    </row>
    <row r="26" spans="1:5">
      <c r="A26" t="s">
        <v>30</v>
      </c>
      <c r="C26">
        <f t="shared" si="0"/>
        <v>0</v>
      </c>
      <c r="D26">
        <v>0</v>
      </c>
      <c r="E26">
        <v>0</v>
      </c>
    </row>
    <row r="27" spans="1:5">
      <c r="A27" t="s">
        <v>31</v>
      </c>
      <c r="C27">
        <f t="shared" si="0"/>
        <v>0</v>
      </c>
      <c r="D27">
        <v>1</v>
      </c>
      <c r="E27">
        <v>0</v>
      </c>
    </row>
    <row r="28" spans="1:5">
      <c r="A28" t="s">
        <v>32</v>
      </c>
      <c r="C28">
        <f t="shared" si="0"/>
        <v>0</v>
      </c>
      <c r="D28">
        <v>0</v>
      </c>
      <c r="E28">
        <v>0</v>
      </c>
    </row>
    <row r="29" spans="1:5">
      <c r="A29" t="s">
        <v>33</v>
      </c>
      <c r="B29" s="1" t="s">
        <v>6</v>
      </c>
      <c r="C29">
        <f t="shared" si="0"/>
        <v>1</v>
      </c>
      <c r="D29">
        <v>0</v>
      </c>
      <c r="E29">
        <v>0</v>
      </c>
    </row>
    <row r="30" spans="1:5">
      <c r="A30" t="s">
        <v>34</v>
      </c>
      <c r="C30">
        <f t="shared" si="0"/>
        <v>0</v>
      </c>
      <c r="D30">
        <v>0</v>
      </c>
      <c r="E30">
        <v>0</v>
      </c>
    </row>
    <row r="31" spans="3:5">
      <c r="C31">
        <f t="shared" si="0"/>
        <v>0</v>
      </c>
      <c r="D31">
        <v>0</v>
      </c>
      <c r="E31">
        <v>0</v>
      </c>
    </row>
    <row r="32" spans="1:5">
      <c r="A32" t="s">
        <v>35</v>
      </c>
      <c r="C32">
        <f t="shared" si="0"/>
        <v>0</v>
      </c>
      <c r="D32">
        <v>0</v>
      </c>
      <c r="E32">
        <v>0</v>
      </c>
    </row>
    <row r="33" spans="1:5">
      <c r="A33" t="s">
        <v>36</v>
      </c>
      <c r="C33">
        <f t="shared" si="0"/>
        <v>0</v>
      </c>
      <c r="D33">
        <v>0</v>
      </c>
      <c r="E33">
        <v>0</v>
      </c>
    </row>
    <row r="34" spans="1:5">
      <c r="A34" t="s">
        <v>37</v>
      </c>
      <c r="C34">
        <f t="shared" si="0"/>
        <v>0</v>
      </c>
      <c r="D34">
        <v>0</v>
      </c>
      <c r="E34">
        <v>1</v>
      </c>
    </row>
    <row r="35" spans="1:5">
      <c r="A35" t="s">
        <v>38</v>
      </c>
      <c r="C35">
        <f t="shared" si="0"/>
        <v>0</v>
      </c>
      <c r="D35">
        <v>0</v>
      </c>
      <c r="E35">
        <v>0</v>
      </c>
    </row>
    <row r="36" spans="1:5">
      <c r="A36" t="s">
        <v>39</v>
      </c>
      <c r="C36">
        <f t="shared" si="0"/>
        <v>0</v>
      </c>
      <c r="D36">
        <v>0</v>
      </c>
      <c r="E36">
        <v>0</v>
      </c>
    </row>
    <row r="37" spans="1:5">
      <c r="A37" t="s">
        <v>40</v>
      </c>
      <c r="C37">
        <f t="shared" si="0"/>
        <v>0</v>
      </c>
      <c r="D37">
        <v>0</v>
      </c>
      <c r="E37">
        <v>1</v>
      </c>
    </row>
    <row r="38" spans="1:5">
      <c r="A38" t="s">
        <v>41</v>
      </c>
      <c r="C38">
        <f t="shared" si="0"/>
        <v>0</v>
      </c>
      <c r="D38">
        <v>1</v>
      </c>
      <c r="E38">
        <v>0</v>
      </c>
    </row>
    <row r="39" spans="1:5">
      <c r="A39" t="s">
        <v>42</v>
      </c>
      <c r="C39">
        <f t="shared" si="0"/>
        <v>0</v>
      </c>
      <c r="D39">
        <v>0</v>
      </c>
      <c r="E39">
        <v>0</v>
      </c>
    </row>
    <row r="40" spans="1:5">
      <c r="A40" t="s">
        <v>43</v>
      </c>
      <c r="C40">
        <f t="shared" si="0"/>
        <v>0</v>
      </c>
      <c r="D40">
        <v>0</v>
      </c>
      <c r="E40">
        <v>0</v>
      </c>
    </row>
    <row r="41" spans="1:5">
      <c r="A41" t="s">
        <v>44</v>
      </c>
      <c r="C41">
        <f t="shared" si="0"/>
        <v>0</v>
      </c>
      <c r="D41">
        <v>0</v>
      </c>
      <c r="E41">
        <v>0</v>
      </c>
    </row>
    <row r="42" spans="1:5">
      <c r="A42" t="s">
        <v>45</v>
      </c>
      <c r="C42">
        <f t="shared" si="0"/>
        <v>0</v>
      </c>
      <c r="D42">
        <v>0</v>
      </c>
      <c r="E42">
        <v>0</v>
      </c>
    </row>
    <row r="43" spans="1:5">
      <c r="A43" t="s">
        <v>46</v>
      </c>
      <c r="C43">
        <f t="shared" si="0"/>
        <v>0</v>
      </c>
      <c r="D43">
        <v>0</v>
      </c>
      <c r="E43">
        <v>0</v>
      </c>
    </row>
    <row r="44" spans="1:5">
      <c r="A44" t="s">
        <v>47</v>
      </c>
      <c r="C44">
        <f t="shared" si="0"/>
        <v>0</v>
      </c>
      <c r="D44">
        <v>0</v>
      </c>
      <c r="E44">
        <v>0</v>
      </c>
    </row>
    <row r="45" spans="1:5">
      <c r="A45" t="s">
        <v>48</v>
      </c>
      <c r="C45">
        <f t="shared" si="0"/>
        <v>0</v>
      </c>
      <c r="D45">
        <v>0</v>
      </c>
      <c r="E45">
        <v>0</v>
      </c>
    </row>
    <row r="46" spans="1:5">
      <c r="A46" t="s">
        <v>49</v>
      </c>
      <c r="C46">
        <f t="shared" si="0"/>
        <v>0</v>
      </c>
      <c r="D46">
        <v>0</v>
      </c>
      <c r="E46">
        <v>0</v>
      </c>
    </row>
    <row r="47" spans="1:5">
      <c r="A47" t="s">
        <v>50</v>
      </c>
      <c r="C47">
        <f t="shared" si="0"/>
        <v>0</v>
      </c>
      <c r="D47">
        <v>0</v>
      </c>
      <c r="E47">
        <v>0</v>
      </c>
    </row>
    <row r="48" spans="1:5">
      <c r="A48" t="s">
        <v>31</v>
      </c>
      <c r="C48">
        <f t="shared" si="0"/>
        <v>0</v>
      </c>
      <c r="D48">
        <v>1</v>
      </c>
      <c r="E48">
        <v>0</v>
      </c>
    </row>
    <row r="49" spans="1:5">
      <c r="A49" t="s">
        <v>51</v>
      </c>
      <c r="C49">
        <f t="shared" si="0"/>
        <v>0</v>
      </c>
      <c r="D49">
        <v>0</v>
      </c>
      <c r="E49">
        <v>1</v>
      </c>
    </row>
    <row r="50" spans="1:5">
      <c r="A50" t="s">
        <v>52</v>
      </c>
      <c r="C50">
        <f t="shared" si="0"/>
        <v>0</v>
      </c>
      <c r="D50">
        <v>0</v>
      </c>
      <c r="E50">
        <v>0</v>
      </c>
    </row>
    <row r="51" spans="1:5">
      <c r="A51" t="s">
        <v>53</v>
      </c>
      <c r="C51">
        <f t="shared" si="0"/>
        <v>0</v>
      </c>
      <c r="D51">
        <v>0</v>
      </c>
      <c r="E51">
        <v>0</v>
      </c>
    </row>
    <row r="52" spans="1:5">
      <c r="A52" t="s">
        <v>54</v>
      </c>
      <c r="C52">
        <f t="shared" si="0"/>
        <v>0</v>
      </c>
      <c r="D52">
        <v>1</v>
      </c>
      <c r="E52">
        <v>0</v>
      </c>
    </row>
    <row r="53" spans="1:5">
      <c r="A53" t="s">
        <v>55</v>
      </c>
      <c r="C53">
        <f t="shared" si="0"/>
        <v>0</v>
      </c>
      <c r="D53">
        <v>0</v>
      </c>
      <c r="E53">
        <v>1</v>
      </c>
    </row>
    <row r="54" spans="1:5">
      <c r="A54" t="s">
        <v>56</v>
      </c>
      <c r="C54">
        <f t="shared" si="0"/>
        <v>0</v>
      </c>
      <c r="D54">
        <v>0</v>
      </c>
      <c r="E54">
        <v>0</v>
      </c>
    </row>
    <row r="55" spans="1:5">
      <c r="A55" t="s">
        <v>57</v>
      </c>
      <c r="C55">
        <f t="shared" si="0"/>
        <v>0</v>
      </c>
      <c r="D55">
        <v>0</v>
      </c>
      <c r="E55">
        <v>0</v>
      </c>
    </row>
    <row r="56" spans="1:5">
      <c r="A56" t="s">
        <v>58</v>
      </c>
      <c r="B56" s="1" t="s">
        <v>6</v>
      </c>
      <c r="C56">
        <f t="shared" si="0"/>
        <v>1</v>
      </c>
      <c r="D56">
        <v>0</v>
      </c>
      <c r="E56">
        <v>0</v>
      </c>
    </row>
    <row r="57" spans="1:5">
      <c r="A57" t="s">
        <v>59</v>
      </c>
      <c r="C57">
        <f t="shared" si="0"/>
        <v>0</v>
      </c>
      <c r="D57">
        <v>0</v>
      </c>
      <c r="E57">
        <v>0</v>
      </c>
    </row>
    <row r="58" spans="1:5">
      <c r="A58" t="s">
        <v>60</v>
      </c>
      <c r="C58">
        <f t="shared" si="0"/>
        <v>0</v>
      </c>
      <c r="D58">
        <v>0</v>
      </c>
      <c r="E58">
        <v>1</v>
      </c>
    </row>
    <row r="59" spans="1:5">
      <c r="A59" t="s">
        <v>61</v>
      </c>
      <c r="C59">
        <f t="shared" si="0"/>
        <v>0</v>
      </c>
      <c r="D59">
        <v>0</v>
      </c>
      <c r="E59">
        <v>0</v>
      </c>
    </row>
    <row r="60" spans="1:5">
      <c r="A60" t="s">
        <v>62</v>
      </c>
      <c r="C60">
        <f t="shared" si="0"/>
        <v>0</v>
      </c>
      <c r="D60">
        <v>0</v>
      </c>
      <c r="E60">
        <v>1</v>
      </c>
    </row>
    <row r="61" spans="1:5">
      <c r="A61" t="s">
        <v>63</v>
      </c>
      <c r="C61">
        <f t="shared" si="0"/>
        <v>0</v>
      </c>
      <c r="D61">
        <v>0</v>
      </c>
      <c r="E61">
        <v>1</v>
      </c>
    </row>
    <row r="62" spans="3:5">
      <c r="C62">
        <f t="shared" si="0"/>
        <v>0</v>
      </c>
      <c r="D62">
        <v>0</v>
      </c>
      <c r="E62">
        <v>0</v>
      </c>
    </row>
    <row r="63" spans="1:5">
      <c r="A63" t="s">
        <v>64</v>
      </c>
      <c r="C63">
        <f t="shared" si="0"/>
        <v>0</v>
      </c>
      <c r="D63">
        <v>1</v>
      </c>
      <c r="E63">
        <v>0</v>
      </c>
    </row>
    <row r="64" spans="1:5">
      <c r="A64" t="s">
        <v>65</v>
      </c>
      <c r="C64">
        <f t="shared" si="0"/>
        <v>0</v>
      </c>
      <c r="D64">
        <v>0</v>
      </c>
      <c r="E64">
        <v>0</v>
      </c>
    </row>
    <row r="65" spans="1:5">
      <c r="A65" t="s">
        <v>66</v>
      </c>
      <c r="C65">
        <f t="shared" si="0"/>
        <v>0</v>
      </c>
      <c r="D65">
        <v>0</v>
      </c>
      <c r="E65">
        <v>1</v>
      </c>
    </row>
    <row r="66" spans="1:5">
      <c r="A66" t="s">
        <v>67</v>
      </c>
      <c r="C66">
        <f t="shared" si="0"/>
        <v>0</v>
      </c>
      <c r="D66">
        <v>1</v>
      </c>
      <c r="E66">
        <v>0</v>
      </c>
    </row>
    <row r="67" spans="1:5">
      <c r="A67" t="s">
        <v>68</v>
      </c>
      <c r="C67">
        <f t="shared" ref="C67:C130" si="1">IF(B67="YES",1,0)</f>
        <v>0</v>
      </c>
      <c r="D67">
        <v>0</v>
      </c>
      <c r="E67">
        <v>0</v>
      </c>
    </row>
    <row r="68" spans="1:5">
      <c r="A68" t="s">
        <v>69</v>
      </c>
      <c r="B68" s="1" t="s">
        <v>6</v>
      </c>
      <c r="C68">
        <f t="shared" si="1"/>
        <v>1</v>
      </c>
      <c r="D68">
        <v>0</v>
      </c>
      <c r="E68">
        <v>0</v>
      </c>
    </row>
    <row r="69" spans="1:5">
      <c r="A69" t="s">
        <v>70</v>
      </c>
      <c r="C69">
        <f t="shared" si="1"/>
        <v>0</v>
      </c>
      <c r="D69">
        <v>0</v>
      </c>
      <c r="E69">
        <v>0</v>
      </c>
    </row>
    <row r="70" spans="1:5">
      <c r="A70" t="s">
        <v>71</v>
      </c>
      <c r="C70">
        <f t="shared" si="1"/>
        <v>0</v>
      </c>
      <c r="D70">
        <v>0</v>
      </c>
      <c r="E70">
        <v>0</v>
      </c>
    </row>
    <row r="71" spans="1:5">
      <c r="A71" t="s">
        <v>72</v>
      </c>
      <c r="C71">
        <f t="shared" si="1"/>
        <v>0</v>
      </c>
      <c r="D71">
        <v>0</v>
      </c>
      <c r="E71">
        <v>1</v>
      </c>
    </row>
    <row r="72" spans="1:5">
      <c r="A72" t="s">
        <v>73</v>
      </c>
      <c r="C72">
        <f t="shared" si="1"/>
        <v>0</v>
      </c>
      <c r="D72">
        <v>0</v>
      </c>
      <c r="E72">
        <v>0</v>
      </c>
    </row>
    <row r="73" spans="1:5">
      <c r="A73" t="s">
        <v>74</v>
      </c>
      <c r="B73" s="1" t="s">
        <v>6</v>
      </c>
      <c r="C73">
        <f t="shared" si="1"/>
        <v>1</v>
      </c>
      <c r="D73">
        <v>0</v>
      </c>
      <c r="E73">
        <v>0</v>
      </c>
    </row>
    <row r="74" spans="1:5">
      <c r="A74" t="s">
        <v>75</v>
      </c>
      <c r="C74">
        <f t="shared" si="1"/>
        <v>0</v>
      </c>
      <c r="D74">
        <v>0</v>
      </c>
      <c r="E74">
        <v>0</v>
      </c>
    </row>
    <row r="75" spans="1:5">
      <c r="A75" t="s">
        <v>76</v>
      </c>
      <c r="C75">
        <f t="shared" si="1"/>
        <v>0</v>
      </c>
      <c r="D75">
        <v>0</v>
      </c>
      <c r="E75">
        <v>0</v>
      </c>
    </row>
    <row r="76" spans="1:5">
      <c r="A76" t="s">
        <v>77</v>
      </c>
      <c r="C76">
        <f t="shared" si="1"/>
        <v>0</v>
      </c>
      <c r="D76">
        <v>0</v>
      </c>
      <c r="E76">
        <v>1</v>
      </c>
    </row>
    <row r="77" spans="1:5">
      <c r="A77" t="s">
        <v>78</v>
      </c>
      <c r="C77">
        <f t="shared" si="1"/>
        <v>0</v>
      </c>
      <c r="D77">
        <v>1</v>
      </c>
      <c r="E77">
        <v>0</v>
      </c>
    </row>
    <row r="78" spans="1:5">
      <c r="A78" t="s">
        <v>79</v>
      </c>
      <c r="C78">
        <f t="shared" si="1"/>
        <v>0</v>
      </c>
      <c r="D78">
        <v>0</v>
      </c>
      <c r="E78">
        <v>0</v>
      </c>
    </row>
    <row r="79" spans="1:5">
      <c r="A79" t="s">
        <v>80</v>
      </c>
      <c r="C79">
        <f t="shared" si="1"/>
        <v>0</v>
      </c>
      <c r="D79">
        <v>0</v>
      </c>
      <c r="E79">
        <v>0</v>
      </c>
    </row>
    <row r="80" spans="1:5">
      <c r="A80" t="s">
        <v>81</v>
      </c>
      <c r="B80" s="1" t="s">
        <v>6</v>
      </c>
      <c r="C80">
        <f t="shared" si="1"/>
        <v>1</v>
      </c>
      <c r="D80">
        <v>0</v>
      </c>
      <c r="E80">
        <v>0</v>
      </c>
    </row>
    <row r="81" spans="1:5">
      <c r="A81" t="s">
        <v>82</v>
      </c>
      <c r="C81">
        <f t="shared" si="1"/>
        <v>0</v>
      </c>
      <c r="D81">
        <v>0</v>
      </c>
      <c r="E81">
        <v>0</v>
      </c>
    </row>
    <row r="82" spans="1:5">
      <c r="A82" t="s">
        <v>83</v>
      </c>
      <c r="B82" s="1" t="s">
        <v>6</v>
      </c>
      <c r="C82">
        <f t="shared" si="1"/>
        <v>1</v>
      </c>
      <c r="D82">
        <v>0</v>
      </c>
      <c r="E82">
        <v>0</v>
      </c>
    </row>
    <row r="83" spans="1:5">
      <c r="A83" t="s">
        <v>84</v>
      </c>
      <c r="C83">
        <f t="shared" si="1"/>
        <v>0</v>
      </c>
      <c r="D83">
        <v>0</v>
      </c>
      <c r="E83">
        <v>0</v>
      </c>
    </row>
    <row r="84" spans="1:5">
      <c r="A84" t="s">
        <v>85</v>
      </c>
      <c r="C84">
        <f t="shared" si="1"/>
        <v>0</v>
      </c>
      <c r="D84">
        <v>0</v>
      </c>
      <c r="E84">
        <v>0</v>
      </c>
    </row>
    <row r="85" spans="1:5">
      <c r="A85" t="s">
        <v>86</v>
      </c>
      <c r="C85">
        <f t="shared" si="1"/>
        <v>0</v>
      </c>
      <c r="D85">
        <v>0</v>
      </c>
      <c r="E85">
        <v>0</v>
      </c>
    </row>
    <row r="86" spans="1:5">
      <c r="A86" t="s">
        <v>87</v>
      </c>
      <c r="C86">
        <f t="shared" si="1"/>
        <v>0</v>
      </c>
      <c r="D86">
        <v>0</v>
      </c>
      <c r="E86">
        <v>1</v>
      </c>
    </row>
    <row r="87" spans="1:5">
      <c r="A87" t="s">
        <v>88</v>
      </c>
      <c r="C87">
        <f t="shared" si="1"/>
        <v>0</v>
      </c>
      <c r="D87">
        <v>0</v>
      </c>
      <c r="E87">
        <v>1</v>
      </c>
    </row>
    <row r="88" spans="1:5">
      <c r="A88" t="s">
        <v>89</v>
      </c>
      <c r="C88">
        <f t="shared" si="1"/>
        <v>0</v>
      </c>
      <c r="D88">
        <v>0</v>
      </c>
      <c r="E88">
        <v>1</v>
      </c>
    </row>
    <row r="89" spans="1:5">
      <c r="A89" t="s">
        <v>90</v>
      </c>
      <c r="C89">
        <f t="shared" si="1"/>
        <v>0</v>
      </c>
      <c r="D89">
        <v>0</v>
      </c>
      <c r="E89">
        <v>0</v>
      </c>
    </row>
    <row r="90" spans="1:5">
      <c r="A90" t="s">
        <v>91</v>
      </c>
      <c r="C90">
        <f t="shared" si="1"/>
        <v>0</v>
      </c>
      <c r="D90">
        <v>1</v>
      </c>
      <c r="E90">
        <v>0</v>
      </c>
    </row>
    <row r="91" spans="1:5">
      <c r="A91" t="s">
        <v>92</v>
      </c>
      <c r="C91">
        <f t="shared" si="1"/>
        <v>0</v>
      </c>
      <c r="D91">
        <v>0</v>
      </c>
      <c r="E91">
        <v>0</v>
      </c>
    </row>
    <row r="92" spans="1:5">
      <c r="A92" t="s">
        <v>93</v>
      </c>
      <c r="C92">
        <f t="shared" si="1"/>
        <v>0</v>
      </c>
      <c r="D92">
        <v>1</v>
      </c>
      <c r="E92">
        <v>0</v>
      </c>
    </row>
    <row r="93" spans="1:5">
      <c r="A93" t="s">
        <v>94</v>
      </c>
      <c r="B93" s="1" t="s">
        <v>6</v>
      </c>
      <c r="C93">
        <f t="shared" si="1"/>
        <v>1</v>
      </c>
      <c r="D93">
        <v>0</v>
      </c>
      <c r="E93">
        <v>0</v>
      </c>
    </row>
    <row r="94" spans="1:5">
      <c r="A94" t="s">
        <v>95</v>
      </c>
      <c r="C94">
        <f t="shared" si="1"/>
        <v>0</v>
      </c>
      <c r="D94">
        <v>0</v>
      </c>
      <c r="E94">
        <v>0</v>
      </c>
    </row>
    <row r="95" spans="1:5">
      <c r="A95" t="s">
        <v>96</v>
      </c>
      <c r="C95">
        <f t="shared" si="1"/>
        <v>0</v>
      </c>
      <c r="D95">
        <v>0</v>
      </c>
      <c r="E95">
        <v>0</v>
      </c>
    </row>
    <row r="96" spans="1:5">
      <c r="A96" t="s">
        <v>97</v>
      </c>
      <c r="C96">
        <f t="shared" si="1"/>
        <v>0</v>
      </c>
      <c r="D96">
        <v>0</v>
      </c>
      <c r="E96">
        <v>1</v>
      </c>
    </row>
    <row r="97" spans="1:5">
      <c r="A97" t="s">
        <v>98</v>
      </c>
      <c r="B97" s="1" t="s">
        <v>6</v>
      </c>
      <c r="C97">
        <f t="shared" si="1"/>
        <v>1</v>
      </c>
      <c r="D97">
        <v>0</v>
      </c>
      <c r="E97">
        <v>0</v>
      </c>
    </row>
    <row r="98" spans="1:5">
      <c r="A98" t="s">
        <v>99</v>
      </c>
      <c r="B98" s="1" t="s">
        <v>6</v>
      </c>
      <c r="C98">
        <f t="shared" si="1"/>
        <v>1</v>
      </c>
      <c r="D98">
        <v>0</v>
      </c>
      <c r="E98">
        <v>0</v>
      </c>
    </row>
    <row r="99" spans="1:5">
      <c r="A99" t="s">
        <v>100</v>
      </c>
      <c r="B99" s="1" t="s">
        <v>6</v>
      </c>
      <c r="C99">
        <f t="shared" si="1"/>
        <v>1</v>
      </c>
      <c r="D99">
        <v>0</v>
      </c>
      <c r="E99">
        <v>0</v>
      </c>
    </row>
    <row r="100" spans="1:5">
      <c r="A100" t="s">
        <v>101</v>
      </c>
      <c r="C100">
        <f t="shared" si="1"/>
        <v>0</v>
      </c>
      <c r="D100">
        <v>0</v>
      </c>
      <c r="E100">
        <v>0</v>
      </c>
    </row>
    <row r="101" spans="1:5">
      <c r="A101" t="s">
        <v>31</v>
      </c>
      <c r="C101">
        <f t="shared" si="1"/>
        <v>0</v>
      </c>
      <c r="D101">
        <v>1</v>
      </c>
      <c r="E101">
        <v>0</v>
      </c>
    </row>
    <row r="102" spans="1:5">
      <c r="A102" t="s">
        <v>102</v>
      </c>
      <c r="C102">
        <f t="shared" si="1"/>
        <v>0</v>
      </c>
      <c r="D102">
        <v>0</v>
      </c>
      <c r="E102">
        <v>0</v>
      </c>
    </row>
    <row r="103" spans="1:5">
      <c r="A103" t="s">
        <v>103</v>
      </c>
      <c r="C103">
        <f t="shared" si="1"/>
        <v>0</v>
      </c>
      <c r="D103">
        <v>0</v>
      </c>
      <c r="E103">
        <v>0</v>
      </c>
    </row>
    <row r="104" spans="3:5">
      <c r="C104">
        <f t="shared" si="1"/>
        <v>0</v>
      </c>
      <c r="D104">
        <v>0</v>
      </c>
      <c r="E104">
        <v>0</v>
      </c>
    </row>
    <row r="105" spans="1:5">
      <c r="A105" t="s">
        <v>104</v>
      </c>
      <c r="C105">
        <f t="shared" si="1"/>
        <v>0</v>
      </c>
      <c r="D105">
        <v>0</v>
      </c>
      <c r="E105">
        <v>0</v>
      </c>
    </row>
    <row r="106" spans="1:5">
      <c r="A106" t="s">
        <v>105</v>
      </c>
      <c r="C106">
        <f t="shared" si="1"/>
        <v>0</v>
      </c>
      <c r="D106">
        <v>0</v>
      </c>
      <c r="E106">
        <v>0</v>
      </c>
    </row>
    <row r="107" spans="1:5">
      <c r="A107" t="s">
        <v>106</v>
      </c>
      <c r="C107">
        <f t="shared" si="1"/>
        <v>0</v>
      </c>
      <c r="D107">
        <v>0</v>
      </c>
      <c r="E107">
        <v>0</v>
      </c>
    </row>
    <row r="108" spans="1:5">
      <c r="A108" t="s">
        <v>107</v>
      </c>
      <c r="B108" s="1" t="s">
        <v>6</v>
      </c>
      <c r="C108">
        <f t="shared" si="1"/>
        <v>1</v>
      </c>
      <c r="D108">
        <v>0</v>
      </c>
      <c r="E108">
        <v>0</v>
      </c>
    </row>
    <row r="109" spans="1:5">
      <c r="A109" t="s">
        <v>108</v>
      </c>
      <c r="B109" s="1" t="s">
        <v>6</v>
      </c>
      <c r="C109">
        <f t="shared" si="1"/>
        <v>1</v>
      </c>
      <c r="D109">
        <v>0</v>
      </c>
      <c r="E109">
        <v>0</v>
      </c>
    </row>
    <row r="110" spans="1:5">
      <c r="A110" t="s">
        <v>109</v>
      </c>
      <c r="C110">
        <f t="shared" si="1"/>
        <v>0</v>
      </c>
      <c r="D110">
        <v>1</v>
      </c>
      <c r="E110">
        <v>0</v>
      </c>
    </row>
    <row r="111" spans="1:5">
      <c r="A111" t="s">
        <v>110</v>
      </c>
      <c r="C111">
        <f t="shared" si="1"/>
        <v>0</v>
      </c>
      <c r="D111">
        <v>0</v>
      </c>
      <c r="E111">
        <v>0</v>
      </c>
    </row>
    <row r="112" spans="1:5">
      <c r="A112" t="s">
        <v>111</v>
      </c>
      <c r="C112">
        <f t="shared" si="1"/>
        <v>0</v>
      </c>
      <c r="D112">
        <v>1</v>
      </c>
      <c r="E112">
        <v>0</v>
      </c>
    </row>
    <row r="113" spans="1:5">
      <c r="A113" t="s">
        <v>112</v>
      </c>
      <c r="C113">
        <f t="shared" si="1"/>
        <v>0</v>
      </c>
      <c r="D113">
        <v>0</v>
      </c>
      <c r="E113">
        <v>0</v>
      </c>
    </row>
    <row r="114" spans="1:5">
      <c r="A114" t="s">
        <v>113</v>
      </c>
      <c r="C114">
        <f t="shared" si="1"/>
        <v>0</v>
      </c>
      <c r="D114">
        <v>0</v>
      </c>
      <c r="E114">
        <v>1</v>
      </c>
    </row>
    <row r="115" spans="1:5">
      <c r="A115" t="s">
        <v>114</v>
      </c>
      <c r="C115">
        <f t="shared" si="1"/>
        <v>0</v>
      </c>
      <c r="D115">
        <v>0</v>
      </c>
      <c r="E115">
        <v>0</v>
      </c>
    </row>
    <row r="116" spans="1:5">
      <c r="A116" t="s">
        <v>115</v>
      </c>
      <c r="C116">
        <f t="shared" si="1"/>
        <v>0</v>
      </c>
      <c r="D116">
        <v>1</v>
      </c>
      <c r="E116">
        <v>0</v>
      </c>
    </row>
    <row r="117" spans="1:5">
      <c r="A117" t="s">
        <v>116</v>
      </c>
      <c r="C117">
        <f t="shared" si="1"/>
        <v>0</v>
      </c>
      <c r="D117">
        <v>0</v>
      </c>
      <c r="E117">
        <v>0</v>
      </c>
    </row>
    <row r="118" spans="1:5">
      <c r="A118" t="s">
        <v>117</v>
      </c>
      <c r="C118">
        <f t="shared" si="1"/>
        <v>0</v>
      </c>
      <c r="D118">
        <v>1</v>
      </c>
      <c r="E118">
        <v>0</v>
      </c>
    </row>
    <row r="119" spans="1:5">
      <c r="A119" t="s">
        <v>118</v>
      </c>
      <c r="B119" s="1" t="s">
        <v>6</v>
      </c>
      <c r="C119">
        <f t="shared" si="1"/>
        <v>1</v>
      </c>
      <c r="D119">
        <v>0</v>
      </c>
      <c r="E119">
        <v>0</v>
      </c>
    </row>
    <row r="120" spans="1:5">
      <c r="A120" t="s">
        <v>119</v>
      </c>
      <c r="C120">
        <f t="shared" si="1"/>
        <v>0</v>
      </c>
      <c r="D120">
        <v>0</v>
      </c>
      <c r="E120">
        <v>0</v>
      </c>
    </row>
    <row r="121" spans="1:5">
      <c r="A121" t="s">
        <v>120</v>
      </c>
      <c r="C121">
        <f t="shared" si="1"/>
        <v>0</v>
      </c>
      <c r="D121">
        <v>0</v>
      </c>
      <c r="E121">
        <v>0</v>
      </c>
    </row>
    <row r="122" spans="1:5">
      <c r="A122" t="s">
        <v>121</v>
      </c>
      <c r="C122">
        <f t="shared" si="1"/>
        <v>0</v>
      </c>
      <c r="D122">
        <v>0</v>
      </c>
      <c r="E122">
        <v>0</v>
      </c>
    </row>
    <row r="123" spans="1:5">
      <c r="A123" t="s">
        <v>122</v>
      </c>
      <c r="C123">
        <f t="shared" si="1"/>
        <v>0</v>
      </c>
      <c r="D123">
        <v>0</v>
      </c>
      <c r="E123">
        <v>0</v>
      </c>
    </row>
    <row r="124" spans="1:5">
      <c r="A124" t="s">
        <v>123</v>
      </c>
      <c r="C124">
        <f t="shared" si="1"/>
        <v>0</v>
      </c>
      <c r="D124">
        <v>0</v>
      </c>
      <c r="E124">
        <v>0</v>
      </c>
    </row>
    <row r="125" spans="1:5">
      <c r="A125" t="s">
        <v>124</v>
      </c>
      <c r="C125">
        <f t="shared" si="1"/>
        <v>0</v>
      </c>
      <c r="D125">
        <v>0</v>
      </c>
      <c r="E125">
        <v>0</v>
      </c>
    </row>
    <row r="126" spans="1:5">
      <c r="A126" t="s">
        <v>125</v>
      </c>
      <c r="B126" s="1" t="s">
        <v>6</v>
      </c>
      <c r="C126">
        <f t="shared" si="1"/>
        <v>1</v>
      </c>
      <c r="D126">
        <v>0</v>
      </c>
      <c r="E126">
        <v>0</v>
      </c>
    </row>
    <row r="127" spans="1:5">
      <c r="A127" t="s">
        <v>126</v>
      </c>
      <c r="C127">
        <f t="shared" si="1"/>
        <v>0</v>
      </c>
      <c r="D127">
        <v>1</v>
      </c>
      <c r="E127">
        <v>0</v>
      </c>
    </row>
    <row r="128" spans="1:5">
      <c r="A128" t="s">
        <v>127</v>
      </c>
      <c r="B128" s="1" t="s">
        <v>6</v>
      </c>
      <c r="C128">
        <f t="shared" si="1"/>
        <v>1</v>
      </c>
      <c r="D128">
        <v>0</v>
      </c>
      <c r="E128">
        <v>0</v>
      </c>
    </row>
    <row r="129" spans="1:5">
      <c r="A129" t="s">
        <v>128</v>
      </c>
      <c r="C129">
        <f t="shared" si="1"/>
        <v>0</v>
      </c>
      <c r="D129">
        <v>0</v>
      </c>
      <c r="E129">
        <v>0</v>
      </c>
    </row>
    <row r="130" spans="1:5">
      <c r="A130" t="s">
        <v>129</v>
      </c>
      <c r="C130">
        <f t="shared" si="1"/>
        <v>0</v>
      </c>
      <c r="D130">
        <v>1</v>
      </c>
      <c r="E130">
        <v>0</v>
      </c>
    </row>
    <row r="131" spans="1:5">
      <c r="A131" t="s">
        <v>130</v>
      </c>
      <c r="C131">
        <f t="shared" ref="C131:C146" si="2">IF(B131="YES",1,0)</f>
        <v>0</v>
      </c>
      <c r="D131">
        <v>0</v>
      </c>
      <c r="E131">
        <v>0</v>
      </c>
    </row>
    <row r="132" spans="1:5">
      <c r="A132" t="s">
        <v>131</v>
      </c>
      <c r="C132">
        <f t="shared" si="2"/>
        <v>0</v>
      </c>
      <c r="D132">
        <v>0</v>
      </c>
      <c r="E132">
        <v>0</v>
      </c>
    </row>
    <row r="133" spans="1:5">
      <c r="A133" t="s">
        <v>132</v>
      </c>
      <c r="B133" s="1" t="s">
        <v>6</v>
      </c>
      <c r="C133">
        <f t="shared" si="2"/>
        <v>1</v>
      </c>
      <c r="D133">
        <v>0</v>
      </c>
      <c r="E133">
        <v>0</v>
      </c>
    </row>
    <row r="134" spans="1:5">
      <c r="A134" t="s">
        <v>133</v>
      </c>
      <c r="C134">
        <f t="shared" si="2"/>
        <v>0</v>
      </c>
      <c r="D134">
        <v>0</v>
      </c>
      <c r="E134">
        <v>0</v>
      </c>
    </row>
    <row r="135" spans="1:5">
      <c r="A135" t="s">
        <v>134</v>
      </c>
      <c r="B135" s="1" t="s">
        <v>6</v>
      </c>
      <c r="C135">
        <f t="shared" si="2"/>
        <v>1</v>
      </c>
      <c r="D135">
        <v>0</v>
      </c>
      <c r="E135">
        <v>0</v>
      </c>
    </row>
    <row r="136" spans="1:5">
      <c r="A136" t="s">
        <v>135</v>
      </c>
      <c r="B136" s="1" t="s">
        <v>6</v>
      </c>
      <c r="C136">
        <f t="shared" si="2"/>
        <v>1</v>
      </c>
      <c r="D136">
        <v>0</v>
      </c>
      <c r="E136">
        <v>0</v>
      </c>
    </row>
    <row r="137" spans="1:5">
      <c r="A137" t="s">
        <v>136</v>
      </c>
      <c r="C137">
        <f t="shared" si="2"/>
        <v>0</v>
      </c>
      <c r="D137">
        <v>0</v>
      </c>
      <c r="E137">
        <v>0</v>
      </c>
    </row>
    <row r="138" spans="3:5">
      <c r="C138">
        <f t="shared" si="2"/>
        <v>0</v>
      </c>
      <c r="D138">
        <v>0</v>
      </c>
      <c r="E138">
        <v>0</v>
      </c>
    </row>
    <row r="139" spans="1:5">
      <c r="A139" t="s">
        <v>137</v>
      </c>
      <c r="B139" s="1" t="s">
        <v>6</v>
      </c>
      <c r="C139">
        <f t="shared" si="2"/>
        <v>1</v>
      </c>
      <c r="D139">
        <v>0</v>
      </c>
      <c r="E139">
        <v>0</v>
      </c>
    </row>
    <row r="140" spans="1:5">
      <c r="A140" t="s">
        <v>138</v>
      </c>
      <c r="B140" s="1" t="s">
        <v>6</v>
      </c>
      <c r="C140">
        <f t="shared" si="2"/>
        <v>1</v>
      </c>
      <c r="D140">
        <v>0</v>
      </c>
      <c r="E140">
        <v>0</v>
      </c>
    </row>
    <row r="141" spans="1:5">
      <c r="A141" t="s">
        <v>139</v>
      </c>
      <c r="B141" s="1" t="s">
        <v>6</v>
      </c>
      <c r="C141">
        <f t="shared" si="2"/>
        <v>1</v>
      </c>
      <c r="D141">
        <v>0</v>
      </c>
      <c r="E141">
        <v>0</v>
      </c>
    </row>
    <row r="142" spans="1:5">
      <c r="A142" t="s">
        <v>140</v>
      </c>
      <c r="C142">
        <f t="shared" si="2"/>
        <v>0</v>
      </c>
      <c r="D142">
        <v>0</v>
      </c>
      <c r="E142">
        <v>0</v>
      </c>
    </row>
    <row r="143" spans="1:5">
      <c r="A143" t="s">
        <v>141</v>
      </c>
      <c r="C143">
        <f t="shared" si="2"/>
        <v>0</v>
      </c>
      <c r="D143">
        <v>0</v>
      </c>
      <c r="E143">
        <v>0</v>
      </c>
    </row>
    <row r="144" spans="1:5">
      <c r="A144" t="s">
        <v>142</v>
      </c>
      <c r="B144" s="1" t="s">
        <v>6</v>
      </c>
      <c r="C144">
        <f t="shared" si="2"/>
        <v>1</v>
      </c>
      <c r="D144">
        <v>0</v>
      </c>
      <c r="E144">
        <v>0</v>
      </c>
    </row>
    <row r="145" spans="1:5">
      <c r="A145" t="s">
        <v>143</v>
      </c>
      <c r="C145">
        <f t="shared" si="2"/>
        <v>0</v>
      </c>
      <c r="D145">
        <v>0</v>
      </c>
      <c r="E145">
        <v>0</v>
      </c>
    </row>
    <row r="146" spans="1:5">
      <c r="A146" t="s">
        <v>144</v>
      </c>
      <c r="C146">
        <f t="shared" si="2"/>
        <v>0</v>
      </c>
      <c r="D146">
        <v>0</v>
      </c>
      <c r="E146">
        <v>0</v>
      </c>
    </row>
  </sheetData>
  <autoFilter xmlns:etc="http://www.wps.cn/officeDocument/2017/etCustomData" ref="A1:E14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6"/>
  <sheetViews>
    <sheetView workbookViewId="0">
      <selection activeCell="A14" sqref="A14"/>
    </sheetView>
  </sheetViews>
  <sheetFormatPr defaultColWidth="9" defaultRowHeight="15" outlineLevelCol="4"/>
  <cols>
    <col min="1" max="1" width="177.428571428571" customWidth="1"/>
    <col min="2" max="2" width="12.7142857142857" style="1" hidden="1" customWidth="1"/>
    <col min="3" max="3" width="14.5714285714286" customWidth="1"/>
  </cols>
  <sheetData>
    <row r="1" spans="1:5">
      <c r="A1" s="2" t="s">
        <v>145</v>
      </c>
      <c r="B1" s="3" t="s">
        <v>146</v>
      </c>
      <c r="C1" t="s">
        <v>147</v>
      </c>
      <c r="D1" t="s">
        <v>148</v>
      </c>
      <c r="E1" t="s">
        <v>149</v>
      </c>
    </row>
    <row r="2" spans="1:5">
      <c r="A2" t="s">
        <v>150</v>
      </c>
      <c r="C2">
        <f>IF(B2="MAX",1,0)</f>
        <v>0</v>
      </c>
      <c r="D2">
        <f>IF(B2="IMM",1,0)</f>
        <v>0</v>
      </c>
      <c r="E2">
        <v>0</v>
      </c>
    </row>
    <row r="3" spans="1:5">
      <c r="A3" t="s">
        <v>151</v>
      </c>
      <c r="C3">
        <f t="shared" ref="C3:C66" si="0">IF(B3="MAX",1,0)</f>
        <v>0</v>
      </c>
      <c r="D3">
        <f t="shared" ref="D3:D66" si="1">IF(B3="IMM",1,0)</f>
        <v>0</v>
      </c>
      <c r="E3">
        <v>0</v>
      </c>
    </row>
    <row r="4" spans="1:5">
      <c r="A4" t="s">
        <v>152</v>
      </c>
      <c r="B4" s="1" t="s">
        <v>153</v>
      </c>
      <c r="C4">
        <f t="shared" si="0"/>
        <v>1</v>
      </c>
      <c r="D4">
        <f t="shared" si="1"/>
        <v>0</v>
      </c>
      <c r="E4">
        <v>0</v>
      </c>
    </row>
    <row r="5" spans="1:5">
      <c r="A5" t="s">
        <v>154</v>
      </c>
      <c r="C5">
        <f t="shared" si="0"/>
        <v>0</v>
      </c>
      <c r="D5">
        <f t="shared" si="1"/>
        <v>0</v>
      </c>
      <c r="E5">
        <v>0</v>
      </c>
    </row>
    <row r="6" spans="1:5">
      <c r="A6" t="s">
        <v>155</v>
      </c>
      <c r="B6" s="1" t="s">
        <v>153</v>
      </c>
      <c r="C6">
        <f t="shared" si="0"/>
        <v>1</v>
      </c>
      <c r="D6">
        <f t="shared" si="1"/>
        <v>0</v>
      </c>
      <c r="E6">
        <v>0</v>
      </c>
    </row>
    <row r="7" spans="1:5">
      <c r="A7" t="s">
        <v>156</v>
      </c>
      <c r="B7" s="1" t="s">
        <v>157</v>
      </c>
      <c r="C7">
        <f t="shared" si="0"/>
        <v>0</v>
      </c>
      <c r="D7">
        <f t="shared" si="1"/>
        <v>1</v>
      </c>
      <c r="E7">
        <v>0</v>
      </c>
    </row>
    <row r="8" spans="1:5">
      <c r="A8" t="s">
        <v>158</v>
      </c>
      <c r="B8" s="1" t="s">
        <v>153</v>
      </c>
      <c r="C8">
        <f t="shared" si="0"/>
        <v>1</v>
      </c>
      <c r="D8">
        <f t="shared" si="1"/>
        <v>0</v>
      </c>
      <c r="E8">
        <v>0</v>
      </c>
    </row>
    <row r="9" spans="1:5">
      <c r="A9" t="s">
        <v>159</v>
      </c>
      <c r="B9" s="1" t="s">
        <v>157</v>
      </c>
      <c r="C9">
        <f t="shared" si="0"/>
        <v>0</v>
      </c>
      <c r="D9">
        <f t="shared" si="1"/>
        <v>1</v>
      </c>
      <c r="E9">
        <v>0</v>
      </c>
    </row>
    <row r="10" spans="1:5">
      <c r="A10" t="s">
        <v>160</v>
      </c>
      <c r="C10">
        <f t="shared" si="0"/>
        <v>0</v>
      </c>
      <c r="D10">
        <f t="shared" si="1"/>
        <v>0</v>
      </c>
      <c r="E10">
        <v>0</v>
      </c>
    </row>
    <row r="11" spans="1:5">
      <c r="A11" t="s">
        <v>161</v>
      </c>
      <c r="B11" s="1" t="s">
        <v>153</v>
      </c>
      <c r="C11">
        <f t="shared" si="0"/>
        <v>1</v>
      </c>
      <c r="D11">
        <f t="shared" si="1"/>
        <v>0</v>
      </c>
      <c r="E11">
        <v>0</v>
      </c>
    </row>
    <row r="12" spans="1:5">
      <c r="A12" t="s">
        <v>162</v>
      </c>
      <c r="C12">
        <f t="shared" si="0"/>
        <v>0</v>
      </c>
      <c r="D12">
        <f t="shared" si="1"/>
        <v>0</v>
      </c>
      <c r="E12">
        <v>0</v>
      </c>
    </row>
    <row r="13" spans="1:5">
      <c r="A13" t="s">
        <v>163</v>
      </c>
      <c r="B13" s="1" t="s">
        <v>153</v>
      </c>
      <c r="C13">
        <f t="shared" si="0"/>
        <v>1</v>
      </c>
      <c r="D13">
        <f t="shared" si="1"/>
        <v>0</v>
      </c>
      <c r="E13">
        <v>0</v>
      </c>
    </row>
    <row r="14" spans="1:5">
      <c r="A14" t="s">
        <v>164</v>
      </c>
      <c r="B14" s="1" t="s">
        <v>153</v>
      </c>
      <c r="C14">
        <f t="shared" si="0"/>
        <v>1</v>
      </c>
      <c r="D14">
        <f t="shared" si="1"/>
        <v>0</v>
      </c>
      <c r="E14">
        <v>0</v>
      </c>
    </row>
    <row r="15" spans="1:5">
      <c r="A15" t="s">
        <v>165</v>
      </c>
      <c r="C15">
        <f t="shared" si="0"/>
        <v>0</v>
      </c>
      <c r="D15">
        <f t="shared" si="1"/>
        <v>0</v>
      </c>
      <c r="E15">
        <v>0</v>
      </c>
    </row>
    <row r="16" spans="1:5">
      <c r="A16" t="s">
        <v>166</v>
      </c>
      <c r="B16" s="1" t="s">
        <v>153</v>
      </c>
      <c r="C16">
        <f t="shared" si="0"/>
        <v>1</v>
      </c>
      <c r="D16">
        <f t="shared" si="1"/>
        <v>0</v>
      </c>
      <c r="E16">
        <v>0</v>
      </c>
    </row>
    <row r="17" spans="3:5">
      <c r="C17">
        <f t="shared" si="0"/>
        <v>0</v>
      </c>
      <c r="D17">
        <f t="shared" si="1"/>
        <v>0</v>
      </c>
      <c r="E17">
        <v>0</v>
      </c>
    </row>
    <row r="18" spans="1:5">
      <c r="A18" t="s">
        <v>167</v>
      </c>
      <c r="C18">
        <f t="shared" si="0"/>
        <v>0</v>
      </c>
      <c r="D18">
        <f t="shared" si="1"/>
        <v>0</v>
      </c>
      <c r="E18">
        <v>0</v>
      </c>
    </row>
    <row r="19" spans="1:5">
      <c r="A19" t="s">
        <v>168</v>
      </c>
      <c r="C19">
        <f t="shared" si="0"/>
        <v>0</v>
      </c>
      <c r="D19">
        <f t="shared" si="1"/>
        <v>0</v>
      </c>
      <c r="E19">
        <v>0</v>
      </c>
    </row>
    <row r="20" spans="1:5">
      <c r="A20" t="s">
        <v>169</v>
      </c>
      <c r="C20">
        <f t="shared" si="0"/>
        <v>0</v>
      </c>
      <c r="D20">
        <f t="shared" si="1"/>
        <v>0</v>
      </c>
      <c r="E20">
        <v>0</v>
      </c>
    </row>
    <row r="21" spans="1:5">
      <c r="A21" t="s">
        <v>170</v>
      </c>
      <c r="C21">
        <f t="shared" si="0"/>
        <v>0</v>
      </c>
      <c r="D21">
        <f t="shared" si="1"/>
        <v>0</v>
      </c>
      <c r="E21">
        <v>0</v>
      </c>
    </row>
    <row r="22" spans="1:5">
      <c r="A22" t="s">
        <v>171</v>
      </c>
      <c r="B22" s="1" t="s">
        <v>157</v>
      </c>
      <c r="C22">
        <f t="shared" si="0"/>
        <v>0</v>
      </c>
      <c r="D22">
        <f t="shared" si="1"/>
        <v>1</v>
      </c>
      <c r="E22">
        <v>0</v>
      </c>
    </row>
    <row r="23" spans="1:5">
      <c r="A23" t="s">
        <v>172</v>
      </c>
      <c r="C23">
        <f t="shared" si="0"/>
        <v>0</v>
      </c>
      <c r="D23">
        <f t="shared" si="1"/>
        <v>0</v>
      </c>
      <c r="E23">
        <v>0</v>
      </c>
    </row>
    <row r="24" spans="1:5">
      <c r="A24" t="s">
        <v>173</v>
      </c>
      <c r="B24" s="1" t="s">
        <v>157</v>
      </c>
      <c r="C24">
        <f t="shared" si="0"/>
        <v>0</v>
      </c>
      <c r="D24">
        <f t="shared" si="1"/>
        <v>1</v>
      </c>
      <c r="E24">
        <v>0</v>
      </c>
    </row>
    <row r="25" spans="1:5">
      <c r="A25" t="s">
        <v>174</v>
      </c>
      <c r="B25" s="1" t="s">
        <v>157</v>
      </c>
      <c r="C25">
        <f t="shared" si="0"/>
        <v>0</v>
      </c>
      <c r="D25">
        <f t="shared" si="1"/>
        <v>1</v>
      </c>
      <c r="E25">
        <v>0</v>
      </c>
    </row>
    <row r="26" spans="1:5">
      <c r="A26" t="s">
        <v>175</v>
      </c>
      <c r="B26" s="1" t="s">
        <v>153</v>
      </c>
      <c r="C26">
        <f t="shared" si="0"/>
        <v>1</v>
      </c>
      <c r="D26">
        <f t="shared" si="1"/>
        <v>0</v>
      </c>
      <c r="E26">
        <v>0</v>
      </c>
    </row>
    <row r="27" spans="1:5">
      <c r="A27" t="s">
        <v>176</v>
      </c>
      <c r="B27" s="1" t="s">
        <v>153</v>
      </c>
      <c r="C27">
        <f t="shared" si="0"/>
        <v>1</v>
      </c>
      <c r="D27">
        <f t="shared" si="1"/>
        <v>0</v>
      </c>
      <c r="E27">
        <v>0</v>
      </c>
    </row>
    <row r="28" spans="1:5">
      <c r="A28" t="s">
        <v>177</v>
      </c>
      <c r="B28" s="1" t="s">
        <v>153</v>
      </c>
      <c r="C28">
        <f t="shared" si="0"/>
        <v>1</v>
      </c>
      <c r="D28">
        <f t="shared" si="1"/>
        <v>0</v>
      </c>
      <c r="E28">
        <v>0</v>
      </c>
    </row>
    <row r="29" spans="1:5">
      <c r="A29" t="s">
        <v>178</v>
      </c>
      <c r="C29">
        <f t="shared" si="0"/>
        <v>0</v>
      </c>
      <c r="D29">
        <f t="shared" si="1"/>
        <v>0</v>
      </c>
      <c r="E29">
        <v>0</v>
      </c>
    </row>
    <row r="30" spans="1:5">
      <c r="A30" t="s">
        <v>179</v>
      </c>
      <c r="C30">
        <f t="shared" si="0"/>
        <v>0</v>
      </c>
      <c r="D30">
        <f t="shared" si="1"/>
        <v>0</v>
      </c>
      <c r="E30">
        <v>0</v>
      </c>
    </row>
    <row r="31" spans="1:5">
      <c r="A31" t="s">
        <v>180</v>
      </c>
      <c r="B31" s="1" t="s">
        <v>157</v>
      </c>
      <c r="C31">
        <f t="shared" si="0"/>
        <v>0</v>
      </c>
      <c r="D31">
        <f t="shared" si="1"/>
        <v>1</v>
      </c>
      <c r="E31">
        <v>0</v>
      </c>
    </row>
    <row r="32" spans="3:5">
      <c r="C32">
        <f t="shared" si="0"/>
        <v>0</v>
      </c>
      <c r="D32">
        <f t="shared" si="1"/>
        <v>0</v>
      </c>
      <c r="E32">
        <v>0</v>
      </c>
    </row>
    <row r="33" spans="1:5">
      <c r="A33" t="s">
        <v>181</v>
      </c>
      <c r="C33">
        <f t="shared" si="0"/>
        <v>0</v>
      </c>
      <c r="D33">
        <f t="shared" si="1"/>
        <v>0</v>
      </c>
      <c r="E33">
        <v>0</v>
      </c>
    </row>
    <row r="34" spans="1:5">
      <c r="A34" t="s">
        <v>182</v>
      </c>
      <c r="B34" s="1" t="s">
        <v>153</v>
      </c>
      <c r="C34">
        <f t="shared" si="0"/>
        <v>1</v>
      </c>
      <c r="D34">
        <f t="shared" si="1"/>
        <v>0</v>
      </c>
      <c r="E34">
        <v>0</v>
      </c>
    </row>
    <row r="35" spans="1:5">
      <c r="A35" t="s">
        <v>183</v>
      </c>
      <c r="C35">
        <f t="shared" si="0"/>
        <v>0</v>
      </c>
      <c r="D35">
        <f t="shared" si="1"/>
        <v>0</v>
      </c>
      <c r="E35">
        <v>0</v>
      </c>
    </row>
    <row r="36" spans="1:5">
      <c r="A36" t="s">
        <v>184</v>
      </c>
      <c r="C36">
        <f t="shared" si="0"/>
        <v>0</v>
      </c>
      <c r="D36">
        <f t="shared" si="1"/>
        <v>0</v>
      </c>
      <c r="E36">
        <v>0</v>
      </c>
    </row>
    <row r="37" spans="1:5">
      <c r="A37" t="s">
        <v>185</v>
      </c>
      <c r="C37">
        <f t="shared" si="0"/>
        <v>0</v>
      </c>
      <c r="D37">
        <f t="shared" si="1"/>
        <v>0</v>
      </c>
      <c r="E37">
        <v>0</v>
      </c>
    </row>
    <row r="38" spans="1:5">
      <c r="A38" t="s">
        <v>186</v>
      </c>
      <c r="B38" s="1" t="s">
        <v>153</v>
      </c>
      <c r="C38">
        <f t="shared" si="0"/>
        <v>1</v>
      </c>
      <c r="D38">
        <f t="shared" si="1"/>
        <v>0</v>
      </c>
      <c r="E38">
        <v>0</v>
      </c>
    </row>
    <row r="39" spans="1:5">
      <c r="A39" t="s">
        <v>187</v>
      </c>
      <c r="B39" s="1" t="s">
        <v>157</v>
      </c>
      <c r="C39">
        <f t="shared" si="0"/>
        <v>0</v>
      </c>
      <c r="D39">
        <f t="shared" si="1"/>
        <v>1</v>
      </c>
      <c r="E39">
        <v>0</v>
      </c>
    </row>
    <row r="40" spans="1:5">
      <c r="A40" t="s">
        <v>188</v>
      </c>
      <c r="B40" s="1" t="s">
        <v>153</v>
      </c>
      <c r="C40">
        <f t="shared" si="0"/>
        <v>1</v>
      </c>
      <c r="D40">
        <f t="shared" si="1"/>
        <v>0</v>
      </c>
      <c r="E40">
        <v>0</v>
      </c>
    </row>
    <row r="41" spans="1:5">
      <c r="A41" t="s">
        <v>189</v>
      </c>
      <c r="B41" s="1" t="s">
        <v>153</v>
      </c>
      <c r="C41">
        <f t="shared" si="0"/>
        <v>1</v>
      </c>
      <c r="D41">
        <f t="shared" si="1"/>
        <v>0</v>
      </c>
      <c r="E41">
        <v>0</v>
      </c>
    </row>
    <row r="42" spans="1:5">
      <c r="A42" t="s">
        <v>190</v>
      </c>
      <c r="C42">
        <f t="shared" si="0"/>
        <v>0</v>
      </c>
      <c r="D42">
        <f t="shared" si="1"/>
        <v>0</v>
      </c>
      <c r="E42">
        <v>0</v>
      </c>
    </row>
    <row r="43" spans="1:5">
      <c r="A43" t="s">
        <v>191</v>
      </c>
      <c r="C43">
        <f t="shared" si="0"/>
        <v>0</v>
      </c>
      <c r="D43">
        <f t="shared" si="1"/>
        <v>0</v>
      </c>
      <c r="E43">
        <v>1</v>
      </c>
    </row>
    <row r="44" spans="1:5">
      <c r="A44" t="s">
        <v>192</v>
      </c>
      <c r="C44">
        <f t="shared" si="0"/>
        <v>0</v>
      </c>
      <c r="D44">
        <f t="shared" si="1"/>
        <v>0</v>
      </c>
      <c r="E44">
        <v>0</v>
      </c>
    </row>
    <row r="45" spans="1:5">
      <c r="A45" t="s">
        <v>193</v>
      </c>
      <c r="C45">
        <f t="shared" si="0"/>
        <v>0</v>
      </c>
      <c r="D45">
        <f t="shared" si="1"/>
        <v>0</v>
      </c>
      <c r="E45">
        <v>0</v>
      </c>
    </row>
    <row r="46" spans="1:5">
      <c r="A46" t="s">
        <v>194</v>
      </c>
      <c r="B46" s="1" t="s">
        <v>153</v>
      </c>
      <c r="C46">
        <f t="shared" si="0"/>
        <v>1</v>
      </c>
      <c r="D46">
        <f t="shared" si="1"/>
        <v>0</v>
      </c>
      <c r="E46">
        <v>0</v>
      </c>
    </row>
    <row r="47" spans="1:5">
      <c r="A47" t="s">
        <v>195</v>
      </c>
      <c r="C47">
        <f t="shared" si="0"/>
        <v>0</v>
      </c>
      <c r="D47">
        <f t="shared" si="1"/>
        <v>0</v>
      </c>
      <c r="E47">
        <v>0</v>
      </c>
    </row>
    <row r="48" spans="1:5">
      <c r="A48" t="s">
        <v>196</v>
      </c>
      <c r="B48" s="1" t="s">
        <v>153</v>
      </c>
      <c r="C48">
        <f t="shared" si="0"/>
        <v>1</v>
      </c>
      <c r="D48">
        <f t="shared" si="1"/>
        <v>0</v>
      </c>
      <c r="E48">
        <v>0</v>
      </c>
    </row>
    <row r="49" spans="1:5">
      <c r="A49" t="s">
        <v>197</v>
      </c>
      <c r="B49" s="1" t="s">
        <v>157</v>
      </c>
      <c r="C49">
        <f t="shared" si="0"/>
        <v>0</v>
      </c>
      <c r="D49">
        <f t="shared" si="1"/>
        <v>1</v>
      </c>
      <c r="E49">
        <v>0</v>
      </c>
    </row>
    <row r="50" spans="1:5">
      <c r="A50" t="s">
        <v>198</v>
      </c>
      <c r="B50" s="1" t="s">
        <v>157</v>
      </c>
      <c r="C50">
        <f t="shared" si="0"/>
        <v>0</v>
      </c>
      <c r="D50">
        <f t="shared" si="1"/>
        <v>1</v>
      </c>
      <c r="E50">
        <v>0</v>
      </c>
    </row>
    <row r="51" spans="1:5">
      <c r="A51" t="s">
        <v>199</v>
      </c>
      <c r="B51" s="1" t="s">
        <v>153</v>
      </c>
      <c r="C51">
        <f t="shared" si="0"/>
        <v>1</v>
      </c>
      <c r="D51">
        <f t="shared" si="1"/>
        <v>0</v>
      </c>
      <c r="E51">
        <v>0</v>
      </c>
    </row>
    <row r="52" spans="1:5">
      <c r="A52" t="s">
        <v>200</v>
      </c>
      <c r="B52" s="1" t="s">
        <v>153</v>
      </c>
      <c r="C52">
        <f t="shared" si="0"/>
        <v>1</v>
      </c>
      <c r="D52">
        <f t="shared" si="1"/>
        <v>0</v>
      </c>
      <c r="E52">
        <v>0</v>
      </c>
    </row>
    <row r="53" spans="1:5">
      <c r="A53" t="s">
        <v>201</v>
      </c>
      <c r="B53" s="1" t="s">
        <v>153</v>
      </c>
      <c r="C53">
        <f t="shared" si="0"/>
        <v>1</v>
      </c>
      <c r="D53">
        <f t="shared" si="1"/>
        <v>0</v>
      </c>
      <c r="E53">
        <v>0</v>
      </c>
    </row>
    <row r="54" spans="1:5">
      <c r="A54" t="s">
        <v>202</v>
      </c>
      <c r="B54" s="1" t="s">
        <v>153</v>
      </c>
      <c r="C54">
        <f t="shared" si="0"/>
        <v>1</v>
      </c>
      <c r="D54">
        <f t="shared" si="1"/>
        <v>0</v>
      </c>
      <c r="E54">
        <v>0</v>
      </c>
    </row>
    <row r="55" spans="1:5">
      <c r="A55" t="s">
        <v>203</v>
      </c>
      <c r="C55">
        <f t="shared" si="0"/>
        <v>0</v>
      </c>
      <c r="D55">
        <f t="shared" si="1"/>
        <v>0</v>
      </c>
      <c r="E55">
        <v>0</v>
      </c>
    </row>
    <row r="56" spans="1:5">
      <c r="A56" t="s">
        <v>204</v>
      </c>
      <c r="B56" s="1" t="s">
        <v>153</v>
      </c>
      <c r="C56">
        <f t="shared" si="0"/>
        <v>1</v>
      </c>
      <c r="D56">
        <f t="shared" si="1"/>
        <v>0</v>
      </c>
      <c r="E56">
        <v>0</v>
      </c>
    </row>
    <row r="57" spans="1:5">
      <c r="A57" t="s">
        <v>205</v>
      </c>
      <c r="B57" s="1" t="s">
        <v>153</v>
      </c>
      <c r="C57">
        <f t="shared" si="0"/>
        <v>1</v>
      </c>
      <c r="D57">
        <f t="shared" si="1"/>
        <v>0</v>
      </c>
      <c r="E57">
        <v>0</v>
      </c>
    </row>
    <row r="58" spans="1:5">
      <c r="A58" t="s">
        <v>206</v>
      </c>
      <c r="C58">
        <f t="shared" si="0"/>
        <v>0</v>
      </c>
      <c r="D58">
        <f t="shared" si="1"/>
        <v>0</v>
      </c>
      <c r="E58">
        <v>0</v>
      </c>
    </row>
    <row r="59" spans="1:5">
      <c r="A59" t="s">
        <v>207</v>
      </c>
      <c r="C59">
        <f t="shared" si="0"/>
        <v>0</v>
      </c>
      <c r="D59">
        <f t="shared" si="1"/>
        <v>0</v>
      </c>
      <c r="E59">
        <v>0</v>
      </c>
    </row>
    <row r="60" spans="1:5">
      <c r="A60" t="s">
        <v>208</v>
      </c>
      <c r="B60" s="1" t="s">
        <v>157</v>
      </c>
      <c r="C60">
        <f t="shared" si="0"/>
        <v>0</v>
      </c>
      <c r="D60">
        <f t="shared" si="1"/>
        <v>1</v>
      </c>
      <c r="E60">
        <v>0</v>
      </c>
    </row>
    <row r="61" spans="1:5">
      <c r="A61" t="s">
        <v>209</v>
      </c>
      <c r="B61" s="1" t="s">
        <v>153</v>
      </c>
      <c r="C61">
        <f t="shared" si="0"/>
        <v>1</v>
      </c>
      <c r="D61">
        <f t="shared" si="1"/>
        <v>0</v>
      </c>
      <c r="E61">
        <v>0</v>
      </c>
    </row>
    <row r="62" spans="3:5">
      <c r="C62">
        <f t="shared" si="0"/>
        <v>0</v>
      </c>
      <c r="D62">
        <f t="shared" si="1"/>
        <v>0</v>
      </c>
      <c r="E62">
        <v>0</v>
      </c>
    </row>
    <row r="63" spans="1:5">
      <c r="A63" t="s">
        <v>210</v>
      </c>
      <c r="B63" s="1" t="s">
        <v>153</v>
      </c>
      <c r="C63">
        <f t="shared" si="0"/>
        <v>1</v>
      </c>
      <c r="D63">
        <f t="shared" si="1"/>
        <v>0</v>
      </c>
      <c r="E63">
        <v>0</v>
      </c>
    </row>
    <row r="64" spans="3:5">
      <c r="C64">
        <f t="shared" si="0"/>
        <v>0</v>
      </c>
      <c r="D64">
        <f t="shared" si="1"/>
        <v>0</v>
      </c>
      <c r="E64">
        <v>0</v>
      </c>
    </row>
    <row r="65" spans="1:5">
      <c r="A65" t="s">
        <v>211</v>
      </c>
      <c r="C65">
        <f t="shared" si="0"/>
        <v>0</v>
      </c>
      <c r="D65">
        <f t="shared" si="1"/>
        <v>0</v>
      </c>
      <c r="E65">
        <v>0</v>
      </c>
    </row>
    <row r="66" spans="1:5">
      <c r="A66" t="s">
        <v>212</v>
      </c>
      <c r="B66" s="1" t="s">
        <v>157</v>
      </c>
      <c r="C66">
        <f t="shared" si="0"/>
        <v>0</v>
      </c>
      <c r="D66">
        <f t="shared" si="1"/>
        <v>1</v>
      </c>
      <c r="E66">
        <v>0</v>
      </c>
    </row>
    <row r="67" spans="1:5">
      <c r="A67" t="s">
        <v>213</v>
      </c>
      <c r="C67">
        <f t="shared" ref="C67:C69" si="2">IF(B67="MAX",1,0)</f>
        <v>0</v>
      </c>
      <c r="D67">
        <f t="shared" ref="D67:D69" si="3">IF(B67="IMM",1,0)</f>
        <v>0</v>
      </c>
      <c r="E67">
        <v>0</v>
      </c>
    </row>
    <row r="68" spans="1:5">
      <c r="A68" t="s">
        <v>214</v>
      </c>
      <c r="C68">
        <f t="shared" si="2"/>
        <v>0</v>
      </c>
      <c r="D68">
        <f t="shared" si="3"/>
        <v>0</v>
      </c>
      <c r="E68">
        <v>0</v>
      </c>
    </row>
    <row r="69" spans="1:5">
      <c r="A69" t="s">
        <v>215</v>
      </c>
      <c r="B69" s="1" t="s">
        <v>153</v>
      </c>
      <c r="C69">
        <f t="shared" si="2"/>
        <v>1</v>
      </c>
      <c r="D69">
        <f t="shared" si="3"/>
        <v>0</v>
      </c>
      <c r="E69">
        <v>0</v>
      </c>
    </row>
    <row r="70" spans="1:5">
      <c r="A70" t="s">
        <v>216</v>
      </c>
      <c r="C70">
        <f t="shared" ref="C70:C133" si="4">IF(B70="MAX",1,0)</f>
        <v>0</v>
      </c>
      <c r="D70">
        <f t="shared" ref="D70:D133" si="5">IF(B70="IMM",1,0)</f>
        <v>0</v>
      </c>
      <c r="E70">
        <v>1</v>
      </c>
    </row>
    <row r="71" spans="1:5">
      <c r="A71" t="s">
        <v>217</v>
      </c>
      <c r="B71" s="1" t="s">
        <v>153</v>
      </c>
      <c r="C71">
        <f t="shared" si="4"/>
        <v>1</v>
      </c>
      <c r="D71">
        <f t="shared" si="5"/>
        <v>0</v>
      </c>
      <c r="E71">
        <v>0</v>
      </c>
    </row>
    <row r="72" spans="1:5">
      <c r="A72" t="s">
        <v>218</v>
      </c>
      <c r="B72" s="1" t="s">
        <v>153</v>
      </c>
      <c r="C72">
        <f t="shared" si="4"/>
        <v>1</v>
      </c>
      <c r="D72">
        <f t="shared" si="5"/>
        <v>0</v>
      </c>
      <c r="E72">
        <v>0</v>
      </c>
    </row>
    <row r="73" spans="1:5">
      <c r="A73" t="s">
        <v>219</v>
      </c>
      <c r="B73" s="1" t="s">
        <v>157</v>
      </c>
      <c r="C73">
        <f t="shared" si="4"/>
        <v>0</v>
      </c>
      <c r="D73">
        <f t="shared" si="5"/>
        <v>1</v>
      </c>
      <c r="E73">
        <v>0</v>
      </c>
    </row>
    <row r="74" spans="1:5">
      <c r="A74" t="s">
        <v>220</v>
      </c>
      <c r="B74" s="1" t="s">
        <v>153</v>
      </c>
      <c r="C74">
        <f t="shared" si="4"/>
        <v>1</v>
      </c>
      <c r="D74">
        <f t="shared" si="5"/>
        <v>0</v>
      </c>
      <c r="E74">
        <v>0</v>
      </c>
    </row>
    <row r="75" spans="1:5">
      <c r="A75" t="s">
        <v>221</v>
      </c>
      <c r="B75" s="1" t="s">
        <v>153</v>
      </c>
      <c r="C75">
        <f t="shared" si="4"/>
        <v>1</v>
      </c>
      <c r="D75">
        <f t="shared" si="5"/>
        <v>0</v>
      </c>
      <c r="E75">
        <v>0</v>
      </c>
    </row>
    <row r="76" spans="1:5">
      <c r="A76" t="s">
        <v>222</v>
      </c>
      <c r="C76">
        <f t="shared" si="4"/>
        <v>0</v>
      </c>
      <c r="D76">
        <f t="shared" si="5"/>
        <v>0</v>
      </c>
      <c r="E76">
        <v>1</v>
      </c>
    </row>
    <row r="77" spans="1:5">
      <c r="A77" t="s">
        <v>223</v>
      </c>
      <c r="B77" s="1" t="s">
        <v>153</v>
      </c>
      <c r="C77">
        <f t="shared" si="4"/>
        <v>1</v>
      </c>
      <c r="D77">
        <f t="shared" si="5"/>
        <v>0</v>
      </c>
      <c r="E77">
        <v>0</v>
      </c>
    </row>
    <row r="78" spans="1:5">
      <c r="A78" t="s">
        <v>224</v>
      </c>
      <c r="C78">
        <f t="shared" si="4"/>
        <v>0</v>
      </c>
      <c r="D78">
        <f t="shared" si="5"/>
        <v>0</v>
      </c>
      <c r="E78">
        <v>0</v>
      </c>
    </row>
    <row r="79" spans="1:5">
      <c r="A79" t="s">
        <v>225</v>
      </c>
      <c r="C79">
        <f t="shared" si="4"/>
        <v>0</v>
      </c>
      <c r="D79">
        <f t="shared" si="5"/>
        <v>0</v>
      </c>
      <c r="E79">
        <v>0</v>
      </c>
    </row>
    <row r="80" spans="1:5">
      <c r="A80" t="s">
        <v>226</v>
      </c>
      <c r="B80" s="1" t="s">
        <v>153</v>
      </c>
      <c r="C80">
        <f t="shared" si="4"/>
        <v>1</v>
      </c>
      <c r="D80">
        <f t="shared" si="5"/>
        <v>0</v>
      </c>
      <c r="E80">
        <v>0</v>
      </c>
    </row>
    <row r="81" spans="1:5">
      <c r="A81" t="s">
        <v>227</v>
      </c>
      <c r="B81" s="1" t="s">
        <v>153</v>
      </c>
      <c r="C81">
        <f t="shared" si="4"/>
        <v>1</v>
      </c>
      <c r="D81">
        <f t="shared" si="5"/>
        <v>0</v>
      </c>
      <c r="E81">
        <v>0</v>
      </c>
    </row>
    <row r="82" spans="1:5">
      <c r="A82" t="s">
        <v>228</v>
      </c>
      <c r="B82" s="1" t="s">
        <v>153</v>
      </c>
      <c r="C82">
        <f t="shared" si="4"/>
        <v>1</v>
      </c>
      <c r="D82">
        <f t="shared" si="5"/>
        <v>0</v>
      </c>
      <c r="E82">
        <v>0</v>
      </c>
    </row>
    <row r="83" spans="1:5">
      <c r="A83" t="s">
        <v>229</v>
      </c>
      <c r="B83" s="1" t="s">
        <v>157</v>
      </c>
      <c r="C83">
        <f t="shared" si="4"/>
        <v>0</v>
      </c>
      <c r="D83">
        <f t="shared" si="5"/>
        <v>1</v>
      </c>
      <c r="E83">
        <v>0</v>
      </c>
    </row>
    <row r="84" spans="1:5">
      <c r="A84" t="s">
        <v>230</v>
      </c>
      <c r="C84">
        <f t="shared" si="4"/>
        <v>0</v>
      </c>
      <c r="D84">
        <f t="shared" si="5"/>
        <v>0</v>
      </c>
      <c r="E84">
        <v>0</v>
      </c>
    </row>
    <row r="85" spans="1:5">
      <c r="A85" t="s">
        <v>231</v>
      </c>
      <c r="C85">
        <f t="shared" si="4"/>
        <v>0</v>
      </c>
      <c r="D85">
        <f t="shared" si="5"/>
        <v>0</v>
      </c>
      <c r="E85">
        <v>0</v>
      </c>
    </row>
    <row r="86" spans="1:5">
      <c r="A86" t="s">
        <v>232</v>
      </c>
      <c r="B86" s="1" t="s">
        <v>153</v>
      </c>
      <c r="C86">
        <f t="shared" si="4"/>
        <v>1</v>
      </c>
      <c r="D86">
        <f t="shared" si="5"/>
        <v>0</v>
      </c>
      <c r="E86">
        <v>0</v>
      </c>
    </row>
    <row r="87" spans="1:5">
      <c r="A87" t="s">
        <v>233</v>
      </c>
      <c r="C87">
        <f t="shared" si="4"/>
        <v>0</v>
      </c>
      <c r="D87">
        <f t="shared" si="5"/>
        <v>0</v>
      </c>
      <c r="E87">
        <v>0</v>
      </c>
    </row>
    <row r="88" spans="1:5">
      <c r="A88" t="s">
        <v>234</v>
      </c>
      <c r="C88">
        <f t="shared" si="4"/>
        <v>0</v>
      </c>
      <c r="D88">
        <f t="shared" si="5"/>
        <v>0</v>
      </c>
      <c r="E88">
        <v>0</v>
      </c>
    </row>
    <row r="89" spans="1:5">
      <c r="A89" t="s">
        <v>235</v>
      </c>
      <c r="C89">
        <f t="shared" si="4"/>
        <v>0</v>
      </c>
      <c r="D89">
        <f t="shared" si="5"/>
        <v>0</v>
      </c>
      <c r="E89">
        <v>0</v>
      </c>
    </row>
    <row r="90" spans="1:5">
      <c r="A90" t="s">
        <v>236</v>
      </c>
      <c r="C90">
        <f t="shared" si="4"/>
        <v>0</v>
      </c>
      <c r="D90">
        <f t="shared" si="5"/>
        <v>0</v>
      </c>
      <c r="E90">
        <v>0</v>
      </c>
    </row>
    <row r="91" spans="1:5">
      <c r="A91" t="s">
        <v>237</v>
      </c>
      <c r="C91">
        <f t="shared" si="4"/>
        <v>0</v>
      </c>
      <c r="D91">
        <f t="shared" si="5"/>
        <v>0</v>
      </c>
      <c r="E91">
        <v>0</v>
      </c>
    </row>
    <row r="92" spans="1:5">
      <c r="A92" t="s">
        <v>238</v>
      </c>
      <c r="B92" s="1" t="s">
        <v>153</v>
      </c>
      <c r="C92">
        <f t="shared" si="4"/>
        <v>1</v>
      </c>
      <c r="D92">
        <f t="shared" si="5"/>
        <v>0</v>
      </c>
      <c r="E92">
        <v>0</v>
      </c>
    </row>
    <row r="93" spans="3:5">
      <c r="C93">
        <f t="shared" si="4"/>
        <v>0</v>
      </c>
      <c r="D93">
        <f t="shared" si="5"/>
        <v>0</v>
      </c>
      <c r="E93">
        <v>0</v>
      </c>
    </row>
    <row r="94" spans="1:5">
      <c r="A94" t="s">
        <v>239</v>
      </c>
      <c r="B94" s="1" t="s">
        <v>153</v>
      </c>
      <c r="C94">
        <f t="shared" si="4"/>
        <v>1</v>
      </c>
      <c r="D94">
        <f t="shared" si="5"/>
        <v>0</v>
      </c>
      <c r="E94">
        <v>0</v>
      </c>
    </row>
    <row r="95" spans="1:5">
      <c r="A95" t="s">
        <v>240</v>
      </c>
      <c r="B95" s="1" t="s">
        <v>153</v>
      </c>
      <c r="C95">
        <f t="shared" si="4"/>
        <v>1</v>
      </c>
      <c r="D95">
        <f t="shared" si="5"/>
        <v>0</v>
      </c>
      <c r="E95">
        <v>0</v>
      </c>
    </row>
    <row r="96" spans="1:5">
      <c r="A96" t="s">
        <v>241</v>
      </c>
      <c r="C96">
        <f t="shared" si="4"/>
        <v>0</v>
      </c>
      <c r="D96">
        <f t="shared" si="5"/>
        <v>0</v>
      </c>
      <c r="E96">
        <v>0</v>
      </c>
    </row>
    <row r="97" spans="1:5">
      <c r="A97" t="s">
        <v>242</v>
      </c>
      <c r="B97" s="1" t="s">
        <v>153</v>
      </c>
      <c r="C97">
        <f t="shared" si="4"/>
        <v>1</v>
      </c>
      <c r="D97">
        <f t="shared" si="5"/>
        <v>0</v>
      </c>
      <c r="E97">
        <v>0</v>
      </c>
    </row>
    <row r="98" spans="1:5">
      <c r="A98" t="s">
        <v>243</v>
      </c>
      <c r="C98">
        <f t="shared" si="4"/>
        <v>0</v>
      </c>
      <c r="D98">
        <f t="shared" si="5"/>
        <v>0</v>
      </c>
      <c r="E98">
        <v>0</v>
      </c>
    </row>
    <row r="99" spans="1:5">
      <c r="A99" t="s">
        <v>244</v>
      </c>
      <c r="B99" s="1" t="s">
        <v>153</v>
      </c>
      <c r="C99">
        <f t="shared" si="4"/>
        <v>1</v>
      </c>
      <c r="D99">
        <f t="shared" si="5"/>
        <v>0</v>
      </c>
      <c r="E99">
        <v>0</v>
      </c>
    </row>
    <row r="100" spans="1:5">
      <c r="A100" t="s">
        <v>245</v>
      </c>
      <c r="B100" s="1" t="s">
        <v>153</v>
      </c>
      <c r="C100">
        <f t="shared" si="4"/>
        <v>1</v>
      </c>
      <c r="D100">
        <f t="shared" si="5"/>
        <v>0</v>
      </c>
      <c r="E100">
        <v>0</v>
      </c>
    </row>
    <row r="101" spans="1:5">
      <c r="A101" t="s">
        <v>196</v>
      </c>
      <c r="B101" s="1" t="s">
        <v>153</v>
      </c>
      <c r="C101">
        <f t="shared" si="4"/>
        <v>1</v>
      </c>
      <c r="D101">
        <f t="shared" si="5"/>
        <v>0</v>
      </c>
      <c r="E101">
        <v>0</v>
      </c>
    </row>
    <row r="102" spans="1:5">
      <c r="A102" t="s">
        <v>246</v>
      </c>
      <c r="C102">
        <f t="shared" si="4"/>
        <v>0</v>
      </c>
      <c r="D102">
        <f t="shared" si="5"/>
        <v>0</v>
      </c>
      <c r="E102">
        <v>0</v>
      </c>
    </row>
    <row r="103" spans="1:5">
      <c r="A103" t="s">
        <v>247</v>
      </c>
      <c r="B103" s="1" t="s">
        <v>153</v>
      </c>
      <c r="C103">
        <f t="shared" si="4"/>
        <v>1</v>
      </c>
      <c r="D103">
        <f t="shared" si="5"/>
        <v>0</v>
      </c>
      <c r="E103">
        <v>0</v>
      </c>
    </row>
    <row r="104" spans="1:5">
      <c r="A104" t="s">
        <v>248</v>
      </c>
      <c r="B104" s="1" t="s">
        <v>157</v>
      </c>
      <c r="C104">
        <f t="shared" si="4"/>
        <v>0</v>
      </c>
      <c r="D104">
        <f t="shared" si="5"/>
        <v>1</v>
      </c>
      <c r="E104">
        <v>0</v>
      </c>
    </row>
    <row r="105" spans="1:5">
      <c r="A105" t="s">
        <v>249</v>
      </c>
      <c r="C105">
        <f t="shared" si="4"/>
        <v>0</v>
      </c>
      <c r="D105">
        <f t="shared" si="5"/>
        <v>0</v>
      </c>
      <c r="E105">
        <v>0</v>
      </c>
    </row>
    <row r="106" spans="1:5">
      <c r="A106" t="s">
        <v>250</v>
      </c>
      <c r="C106">
        <f t="shared" si="4"/>
        <v>0</v>
      </c>
      <c r="D106">
        <f t="shared" si="5"/>
        <v>0</v>
      </c>
      <c r="E106">
        <v>1</v>
      </c>
    </row>
    <row r="107" spans="1:5">
      <c r="A107" t="s">
        <v>251</v>
      </c>
      <c r="B107" s="1" t="s">
        <v>153</v>
      </c>
      <c r="C107">
        <f t="shared" si="4"/>
        <v>1</v>
      </c>
      <c r="D107">
        <f t="shared" si="5"/>
        <v>0</v>
      </c>
      <c r="E107">
        <v>0</v>
      </c>
    </row>
    <row r="108" spans="1:5">
      <c r="A108" t="s">
        <v>252</v>
      </c>
      <c r="C108">
        <f t="shared" si="4"/>
        <v>0</v>
      </c>
      <c r="D108">
        <f t="shared" si="5"/>
        <v>0</v>
      </c>
      <c r="E108">
        <v>0</v>
      </c>
    </row>
    <row r="109" spans="1:5">
      <c r="A109" t="s">
        <v>253</v>
      </c>
      <c r="C109">
        <f t="shared" si="4"/>
        <v>0</v>
      </c>
      <c r="D109">
        <f t="shared" si="5"/>
        <v>0</v>
      </c>
      <c r="E109">
        <v>0</v>
      </c>
    </row>
    <row r="110" spans="1:5">
      <c r="A110" t="s">
        <v>254</v>
      </c>
      <c r="B110" s="1" t="s">
        <v>153</v>
      </c>
      <c r="C110">
        <f t="shared" si="4"/>
        <v>1</v>
      </c>
      <c r="D110">
        <f t="shared" si="5"/>
        <v>0</v>
      </c>
      <c r="E110">
        <v>0</v>
      </c>
    </row>
    <row r="111" spans="1:5">
      <c r="A111" t="s">
        <v>255</v>
      </c>
      <c r="C111">
        <f t="shared" si="4"/>
        <v>0</v>
      </c>
      <c r="D111">
        <f t="shared" si="5"/>
        <v>0</v>
      </c>
      <c r="E111">
        <v>0</v>
      </c>
    </row>
    <row r="112" spans="1:5">
      <c r="A112" t="s">
        <v>256</v>
      </c>
      <c r="B112" s="1" t="s">
        <v>153</v>
      </c>
      <c r="C112">
        <f t="shared" si="4"/>
        <v>1</v>
      </c>
      <c r="D112">
        <f t="shared" si="5"/>
        <v>0</v>
      </c>
      <c r="E112">
        <v>0</v>
      </c>
    </row>
    <row r="113" spans="1:5">
      <c r="A113" t="s">
        <v>257</v>
      </c>
      <c r="C113">
        <f t="shared" si="4"/>
        <v>0</v>
      </c>
      <c r="D113">
        <f t="shared" si="5"/>
        <v>0</v>
      </c>
      <c r="E113">
        <v>0</v>
      </c>
    </row>
    <row r="114" spans="1:5">
      <c r="A114" t="s">
        <v>258</v>
      </c>
      <c r="B114" s="1" t="s">
        <v>153</v>
      </c>
      <c r="C114">
        <f t="shared" si="4"/>
        <v>1</v>
      </c>
      <c r="D114">
        <f t="shared" si="5"/>
        <v>0</v>
      </c>
      <c r="E114">
        <v>0</v>
      </c>
    </row>
    <row r="115" spans="1:5">
      <c r="A115" t="s">
        <v>259</v>
      </c>
      <c r="B115" s="1" t="s">
        <v>153</v>
      </c>
      <c r="C115">
        <f t="shared" si="4"/>
        <v>1</v>
      </c>
      <c r="D115">
        <f t="shared" si="5"/>
        <v>0</v>
      </c>
      <c r="E115">
        <v>0</v>
      </c>
    </row>
    <row r="116" spans="1:5">
      <c r="A116" t="s">
        <v>260</v>
      </c>
      <c r="C116">
        <f t="shared" si="4"/>
        <v>0</v>
      </c>
      <c r="D116">
        <f t="shared" si="5"/>
        <v>0</v>
      </c>
      <c r="E116">
        <v>0</v>
      </c>
    </row>
    <row r="117" spans="1:5">
      <c r="A117" t="s">
        <v>261</v>
      </c>
      <c r="C117">
        <f t="shared" si="4"/>
        <v>0</v>
      </c>
      <c r="D117">
        <f t="shared" si="5"/>
        <v>0</v>
      </c>
      <c r="E117">
        <v>0</v>
      </c>
    </row>
    <row r="118" spans="1:5">
      <c r="A118" t="s">
        <v>262</v>
      </c>
      <c r="B118" s="1" t="s">
        <v>153</v>
      </c>
      <c r="C118">
        <f t="shared" si="4"/>
        <v>1</v>
      </c>
      <c r="D118">
        <f t="shared" si="5"/>
        <v>0</v>
      </c>
      <c r="E118">
        <v>0</v>
      </c>
    </row>
    <row r="119" spans="1:5">
      <c r="A119" t="s">
        <v>263</v>
      </c>
      <c r="B119" s="1" t="s">
        <v>157</v>
      </c>
      <c r="C119">
        <f t="shared" si="4"/>
        <v>0</v>
      </c>
      <c r="D119">
        <f t="shared" si="5"/>
        <v>1</v>
      </c>
      <c r="E119">
        <v>0</v>
      </c>
    </row>
    <row r="120" spans="1:5">
      <c r="A120" t="s">
        <v>264</v>
      </c>
      <c r="C120">
        <f t="shared" si="4"/>
        <v>0</v>
      </c>
      <c r="D120">
        <f t="shared" si="5"/>
        <v>0</v>
      </c>
      <c r="E120">
        <v>1</v>
      </c>
    </row>
    <row r="121" spans="1:5">
      <c r="A121" t="s">
        <v>265</v>
      </c>
      <c r="C121">
        <f t="shared" si="4"/>
        <v>0</v>
      </c>
      <c r="D121">
        <f t="shared" si="5"/>
        <v>0</v>
      </c>
      <c r="E121">
        <v>0</v>
      </c>
    </row>
    <row r="122" spans="1:5">
      <c r="A122" t="s">
        <v>266</v>
      </c>
      <c r="B122" s="1" t="s">
        <v>153</v>
      </c>
      <c r="C122">
        <f t="shared" si="4"/>
        <v>1</v>
      </c>
      <c r="D122">
        <f t="shared" si="5"/>
        <v>0</v>
      </c>
      <c r="E122">
        <v>0</v>
      </c>
    </row>
    <row r="123" spans="1:5">
      <c r="A123" t="s">
        <v>267</v>
      </c>
      <c r="B123" s="1" t="s">
        <v>157</v>
      </c>
      <c r="C123">
        <f t="shared" si="4"/>
        <v>0</v>
      </c>
      <c r="D123">
        <f t="shared" si="5"/>
        <v>1</v>
      </c>
      <c r="E123">
        <v>0</v>
      </c>
    </row>
    <row r="124" spans="1:5">
      <c r="A124" t="s">
        <v>268</v>
      </c>
      <c r="C124">
        <f t="shared" si="4"/>
        <v>0</v>
      </c>
      <c r="D124">
        <f t="shared" si="5"/>
        <v>0</v>
      </c>
      <c r="E124">
        <v>0</v>
      </c>
    </row>
    <row r="125" spans="1:5">
      <c r="A125" t="s">
        <v>269</v>
      </c>
      <c r="C125">
        <f t="shared" si="4"/>
        <v>0</v>
      </c>
      <c r="D125">
        <f t="shared" si="5"/>
        <v>0</v>
      </c>
      <c r="E125">
        <v>0</v>
      </c>
    </row>
    <row r="126" spans="1:5">
      <c r="A126" t="s">
        <v>270</v>
      </c>
      <c r="C126">
        <f t="shared" si="4"/>
        <v>0</v>
      </c>
      <c r="D126">
        <f t="shared" si="5"/>
        <v>0</v>
      </c>
      <c r="E126">
        <v>0</v>
      </c>
    </row>
    <row r="127" spans="1:5">
      <c r="A127" t="s">
        <v>271</v>
      </c>
      <c r="B127" s="1" t="s">
        <v>153</v>
      </c>
      <c r="C127">
        <f t="shared" si="4"/>
        <v>1</v>
      </c>
      <c r="D127">
        <f t="shared" si="5"/>
        <v>0</v>
      </c>
      <c r="E127">
        <v>0</v>
      </c>
    </row>
    <row r="128" spans="1:5">
      <c r="A128" t="s">
        <v>272</v>
      </c>
      <c r="C128">
        <f t="shared" si="4"/>
        <v>0</v>
      </c>
      <c r="D128">
        <f t="shared" si="5"/>
        <v>0</v>
      </c>
      <c r="E128">
        <v>1</v>
      </c>
    </row>
    <row r="129" spans="1:5">
      <c r="A129" t="s">
        <v>273</v>
      </c>
      <c r="C129">
        <f t="shared" si="4"/>
        <v>0</v>
      </c>
      <c r="D129">
        <f t="shared" si="5"/>
        <v>0</v>
      </c>
      <c r="E129">
        <v>0</v>
      </c>
    </row>
    <row r="130" spans="1:5">
      <c r="A130" t="s">
        <v>274</v>
      </c>
      <c r="C130">
        <f t="shared" si="4"/>
        <v>0</v>
      </c>
      <c r="D130">
        <f t="shared" si="5"/>
        <v>0</v>
      </c>
      <c r="E130">
        <v>0</v>
      </c>
    </row>
    <row r="131" spans="1:5">
      <c r="A131" t="s">
        <v>275</v>
      </c>
      <c r="B131" s="1" t="s">
        <v>153</v>
      </c>
      <c r="C131">
        <f t="shared" si="4"/>
        <v>1</v>
      </c>
      <c r="D131">
        <f t="shared" si="5"/>
        <v>0</v>
      </c>
      <c r="E131">
        <v>0</v>
      </c>
    </row>
    <row r="132" spans="1:5">
      <c r="A132" t="s">
        <v>276</v>
      </c>
      <c r="C132">
        <f t="shared" si="4"/>
        <v>0</v>
      </c>
      <c r="D132">
        <f t="shared" si="5"/>
        <v>0</v>
      </c>
      <c r="E132">
        <v>1</v>
      </c>
    </row>
    <row r="133" spans="3:5">
      <c r="C133">
        <f t="shared" si="4"/>
        <v>0</v>
      </c>
      <c r="D133">
        <f t="shared" si="5"/>
        <v>0</v>
      </c>
      <c r="E133">
        <v>0</v>
      </c>
    </row>
    <row r="134" spans="1:5">
      <c r="A134" t="s">
        <v>277</v>
      </c>
      <c r="C134">
        <f t="shared" ref="C134:C146" si="6">IF(B134="MAX",1,0)</f>
        <v>0</v>
      </c>
      <c r="D134">
        <f t="shared" ref="D134:D146" si="7">IF(B134="IMM",1,0)</f>
        <v>0</v>
      </c>
      <c r="E134">
        <v>0</v>
      </c>
    </row>
    <row r="135" spans="1:5">
      <c r="A135" t="s">
        <v>278</v>
      </c>
      <c r="B135" s="1" t="s">
        <v>153</v>
      </c>
      <c r="C135">
        <f t="shared" si="6"/>
        <v>1</v>
      </c>
      <c r="D135">
        <f t="shared" si="7"/>
        <v>0</v>
      </c>
      <c r="E135">
        <v>0</v>
      </c>
    </row>
    <row r="136" spans="1:5">
      <c r="A136" t="s">
        <v>279</v>
      </c>
      <c r="C136">
        <f t="shared" si="6"/>
        <v>0</v>
      </c>
      <c r="D136">
        <f t="shared" si="7"/>
        <v>0</v>
      </c>
      <c r="E136">
        <v>0</v>
      </c>
    </row>
    <row r="137" spans="1:5">
      <c r="A137" t="s">
        <v>280</v>
      </c>
      <c r="B137" s="1" t="s">
        <v>153</v>
      </c>
      <c r="C137">
        <f t="shared" si="6"/>
        <v>1</v>
      </c>
      <c r="D137">
        <f t="shared" si="7"/>
        <v>0</v>
      </c>
      <c r="E137">
        <v>0</v>
      </c>
    </row>
    <row r="138" spans="3:5">
      <c r="C138">
        <f t="shared" si="6"/>
        <v>0</v>
      </c>
      <c r="D138">
        <f t="shared" si="7"/>
        <v>0</v>
      </c>
      <c r="E138">
        <v>0</v>
      </c>
    </row>
    <row r="139" spans="1:5">
      <c r="A139" t="s">
        <v>281</v>
      </c>
      <c r="C139">
        <f t="shared" si="6"/>
        <v>0</v>
      </c>
      <c r="D139">
        <f t="shared" si="7"/>
        <v>0</v>
      </c>
      <c r="E139">
        <v>0</v>
      </c>
    </row>
    <row r="140" spans="1:5">
      <c r="A140" t="s">
        <v>282</v>
      </c>
      <c r="B140" s="1" t="s">
        <v>153</v>
      </c>
      <c r="C140">
        <f t="shared" si="6"/>
        <v>1</v>
      </c>
      <c r="D140">
        <f t="shared" si="7"/>
        <v>0</v>
      </c>
      <c r="E140">
        <v>0</v>
      </c>
    </row>
    <row r="141" spans="1:5">
      <c r="A141" t="s">
        <v>283</v>
      </c>
      <c r="B141" s="1" t="s">
        <v>153</v>
      </c>
      <c r="C141">
        <f t="shared" si="6"/>
        <v>1</v>
      </c>
      <c r="D141">
        <f t="shared" si="7"/>
        <v>0</v>
      </c>
      <c r="E141">
        <v>0</v>
      </c>
    </row>
    <row r="142" spans="1:5">
      <c r="A142" t="s">
        <v>284</v>
      </c>
      <c r="C142">
        <f t="shared" si="6"/>
        <v>0</v>
      </c>
      <c r="D142">
        <f t="shared" si="7"/>
        <v>0</v>
      </c>
      <c r="E142">
        <v>0</v>
      </c>
    </row>
    <row r="143" spans="1:5">
      <c r="A143" t="s">
        <v>285</v>
      </c>
      <c r="C143">
        <f t="shared" si="6"/>
        <v>0</v>
      </c>
      <c r="D143">
        <f t="shared" si="7"/>
        <v>0</v>
      </c>
      <c r="E143">
        <v>0</v>
      </c>
    </row>
    <row r="144" spans="1:5">
      <c r="A144" t="s">
        <v>286</v>
      </c>
      <c r="C144">
        <f t="shared" si="6"/>
        <v>0</v>
      </c>
      <c r="D144">
        <f t="shared" si="7"/>
        <v>0</v>
      </c>
      <c r="E144">
        <v>0</v>
      </c>
    </row>
    <row r="145" spans="1:5">
      <c r="A145" t="s">
        <v>287</v>
      </c>
      <c r="C145">
        <f t="shared" si="6"/>
        <v>0</v>
      </c>
      <c r="D145">
        <f t="shared" si="7"/>
        <v>0</v>
      </c>
      <c r="E145">
        <v>0</v>
      </c>
    </row>
    <row r="146" spans="1:5">
      <c r="A146" t="s">
        <v>288</v>
      </c>
      <c r="C146">
        <f t="shared" si="6"/>
        <v>0</v>
      </c>
      <c r="D146">
        <f t="shared" si="7"/>
        <v>0</v>
      </c>
      <c r="E146">
        <v>0</v>
      </c>
    </row>
  </sheetData>
  <autoFilter xmlns:etc="http://www.wps.cn/officeDocument/2017/etCustomData" ref="A1:E14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Question 7b</vt:lpstr>
      <vt:lpstr>Question 8b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caliari</cp:lastModifiedBy>
  <dcterms:created xsi:type="dcterms:W3CDTF">2006-09-16T00:00:00Z</dcterms:created>
  <dcterms:modified xsi:type="dcterms:W3CDTF">2024-11-20T14:24:36Z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F75B6E6829E243B3AD3AE3DD556AC732_12</vt:lpwstr>
  </property>
  <property fmtid="{D5CDD505-2E9C-101B-9397-08002B2CF9AE}" pid="3" name="KSOProductBuildVer">
    <vt:lpwstr>1033-12.2.0.18911</vt:lpwstr>
  </property>
</Properties>
</file>